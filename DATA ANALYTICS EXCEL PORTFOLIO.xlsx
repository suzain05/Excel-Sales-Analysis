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pivotTables/pivotTable2.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11.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12.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3.xml" ContentType="application/vnd.openxmlformats-officedocument.drawing+xml"/>
  <Override PartName="/xl/slicers/slicer8.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7.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8.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9.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5d7beb4ff8a1d2ea/Desktop/EXCEL PROJECT/"/>
    </mc:Choice>
  </mc:AlternateContent>
  <xr:revisionPtr revIDLastSave="7612" documentId="8_{87F8FA6E-4B5B-43D9-8564-2593E11AD5FE}" xr6:coauthVersionLast="47" xr6:coauthVersionMax="47" xr10:uidLastSave="{82AFCC19-E564-4F28-8CFE-131D539CDBC9}"/>
  <bookViews>
    <workbookView xWindow="-108" yWindow="-108" windowWidth="23256" windowHeight="13896" firstSheet="10" activeTab="13" xr2:uid="{E41E14D0-1780-459A-8B37-84386CC356B4}"/>
  </bookViews>
  <sheets>
    <sheet name=" TITLE" sheetId="20" r:id="rId1"/>
    <sheet name=" CONTENTS" sheetId="21" r:id="rId2"/>
    <sheet name=" PROJECT SUMMARY " sheetId="23" r:id="rId3"/>
    <sheet name=" ANALYTICS FRAMEWORK" sheetId="24" r:id="rId4"/>
    <sheet name=" RAW DATA" sheetId="34" r:id="rId5"/>
    <sheet name="PROCESSED_DATA" sheetId="1" r:id="rId6"/>
    <sheet name=" MONTHLY ORDERS" sheetId="3" r:id="rId7"/>
    <sheet name="REVENUE BY CITY" sheetId="6" r:id="rId8"/>
    <sheet name=" GENDER WISE SALES" sheetId="9" r:id="rId9"/>
    <sheet name=" CATEGORY WISE REVENUE" sheetId="10" r:id="rId10"/>
    <sheet name="PAYMENT METHOD" sheetId="8" r:id="rId11"/>
    <sheet name=" DELIVERY STATUS ANALYSIS" sheetId="15" r:id="rId12"/>
    <sheet name=" SELL THROUGH RATE ANALYSIS" sheetId="18" r:id="rId13"/>
    <sheet name=" DASHBOARD" sheetId="17" r:id="rId14"/>
  </sheets>
  <definedNames>
    <definedName name="_xlnm._FilterDatabase" localSheetId="5" hidden="1">PROCESSED_DATA!$A$1:$S$141</definedName>
    <definedName name="Slicer_Category2">#N/A</definedName>
    <definedName name="Slicer_City2">#N/A</definedName>
    <definedName name="Slicer_Gender">#N/A</definedName>
    <definedName name="Slicer_Gender1">#N/A</definedName>
    <definedName name="Slicer_Month">#N/A</definedName>
    <definedName name="Slicer_Month1">#N/A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1" i="1" l="1"/>
  <c r="O141" i="1"/>
  <c r="M141" i="1"/>
  <c r="P140" i="1"/>
  <c r="O140" i="1"/>
  <c r="M140" i="1"/>
  <c r="P139" i="1"/>
  <c r="O139" i="1"/>
  <c r="M139" i="1"/>
  <c r="P138" i="1"/>
  <c r="O138" i="1"/>
  <c r="M138" i="1"/>
  <c r="P137" i="1"/>
  <c r="O137" i="1"/>
  <c r="M137" i="1"/>
  <c r="P136" i="1"/>
  <c r="O136" i="1"/>
  <c r="M136" i="1"/>
  <c r="P135" i="1"/>
  <c r="O135" i="1"/>
  <c r="M135" i="1"/>
  <c r="P134" i="1"/>
  <c r="O134" i="1"/>
  <c r="M134" i="1"/>
  <c r="P133" i="1"/>
  <c r="O133" i="1"/>
  <c r="M133" i="1"/>
  <c r="P132" i="1"/>
  <c r="O132" i="1"/>
  <c r="M132" i="1"/>
  <c r="P131" i="1"/>
  <c r="O131" i="1"/>
  <c r="M131" i="1"/>
  <c r="P130" i="1"/>
  <c r="O130" i="1"/>
  <c r="M130" i="1"/>
  <c r="P129" i="1"/>
  <c r="O129" i="1"/>
  <c r="M129" i="1"/>
  <c r="P128" i="1"/>
  <c r="O128" i="1"/>
  <c r="M128" i="1"/>
  <c r="P127" i="1"/>
  <c r="O127" i="1"/>
  <c r="M127" i="1"/>
  <c r="P126" i="1"/>
  <c r="O126" i="1"/>
  <c r="M126" i="1"/>
  <c r="P125" i="1"/>
  <c r="O125" i="1"/>
  <c r="M125" i="1"/>
  <c r="P124" i="1"/>
  <c r="O124" i="1"/>
  <c r="M124" i="1"/>
  <c r="P123" i="1"/>
  <c r="O123" i="1"/>
  <c r="M123" i="1"/>
  <c r="P122" i="1"/>
  <c r="O122" i="1"/>
  <c r="M122" i="1"/>
  <c r="P121" i="1"/>
  <c r="O121" i="1"/>
  <c r="M121" i="1"/>
  <c r="P120" i="1"/>
  <c r="O120" i="1"/>
  <c r="M120" i="1"/>
  <c r="P119" i="1"/>
  <c r="O119" i="1"/>
  <c r="M119" i="1"/>
  <c r="P118" i="1"/>
  <c r="O118" i="1"/>
  <c r="M118" i="1"/>
  <c r="P117" i="1"/>
  <c r="O117" i="1"/>
  <c r="M117" i="1"/>
  <c r="P116" i="1"/>
  <c r="O116" i="1"/>
  <c r="M116" i="1"/>
  <c r="P115" i="1"/>
  <c r="O115" i="1"/>
  <c r="M115" i="1"/>
  <c r="P114" i="1"/>
  <c r="O114" i="1"/>
  <c r="M114" i="1"/>
  <c r="P113" i="1"/>
  <c r="O113" i="1"/>
  <c r="M113" i="1"/>
  <c r="P112" i="1"/>
  <c r="O112" i="1"/>
  <c r="M112" i="1"/>
  <c r="P111" i="1"/>
  <c r="O111" i="1"/>
  <c r="M111" i="1"/>
  <c r="P110" i="1"/>
  <c r="O110" i="1"/>
  <c r="M110" i="1"/>
  <c r="P109" i="1"/>
  <c r="O109" i="1"/>
  <c r="M109" i="1"/>
  <c r="P108" i="1"/>
  <c r="O108" i="1"/>
  <c r="M108" i="1"/>
  <c r="P107" i="1"/>
  <c r="O107" i="1"/>
  <c r="M107" i="1"/>
  <c r="P106" i="1"/>
  <c r="O106" i="1"/>
  <c r="M106" i="1"/>
  <c r="P105" i="1"/>
  <c r="O105" i="1"/>
  <c r="M105" i="1"/>
  <c r="P104" i="1"/>
  <c r="O104" i="1"/>
  <c r="M104" i="1"/>
  <c r="P103" i="1"/>
  <c r="O103" i="1"/>
  <c r="M103" i="1"/>
  <c r="P102" i="1"/>
  <c r="O102" i="1"/>
  <c r="M102" i="1"/>
  <c r="P101" i="1"/>
  <c r="O101" i="1"/>
  <c r="M101" i="1"/>
  <c r="P100" i="1"/>
  <c r="O100" i="1"/>
  <c r="M100" i="1"/>
  <c r="P99" i="1"/>
  <c r="O99" i="1"/>
  <c r="M99" i="1"/>
  <c r="P98" i="1"/>
  <c r="O98" i="1"/>
  <c r="M98" i="1"/>
  <c r="P97" i="1"/>
  <c r="O97" i="1"/>
  <c r="M97" i="1"/>
  <c r="P96" i="1"/>
  <c r="O96" i="1"/>
  <c r="M96" i="1"/>
  <c r="P95" i="1"/>
  <c r="O95" i="1"/>
  <c r="M95" i="1"/>
  <c r="P94" i="1"/>
  <c r="O94" i="1"/>
  <c r="M94" i="1"/>
  <c r="P93" i="1"/>
  <c r="O93" i="1"/>
  <c r="M93" i="1"/>
  <c r="P92" i="1"/>
  <c r="O92" i="1"/>
  <c r="M92" i="1"/>
  <c r="P91" i="1"/>
  <c r="O91" i="1"/>
  <c r="M91" i="1"/>
  <c r="P90" i="1"/>
  <c r="O90" i="1"/>
  <c r="M90" i="1"/>
  <c r="P89" i="1"/>
  <c r="O89" i="1"/>
  <c r="M89" i="1"/>
  <c r="P88" i="1"/>
  <c r="O88" i="1"/>
  <c r="M88" i="1"/>
  <c r="P87" i="1"/>
  <c r="O87" i="1"/>
  <c r="M87" i="1"/>
  <c r="P86" i="1"/>
  <c r="O86" i="1"/>
  <c r="M86" i="1"/>
  <c r="P85" i="1"/>
  <c r="O85" i="1"/>
  <c r="M85" i="1"/>
  <c r="P84" i="1"/>
  <c r="O84" i="1"/>
  <c r="M84" i="1"/>
  <c r="P83" i="1"/>
  <c r="O83" i="1"/>
  <c r="M83" i="1"/>
  <c r="P82" i="1"/>
  <c r="O82" i="1"/>
  <c r="M82" i="1"/>
  <c r="P81" i="1"/>
  <c r="O81" i="1"/>
  <c r="M81" i="1"/>
  <c r="P80" i="1"/>
  <c r="O80" i="1"/>
  <c r="M80" i="1"/>
  <c r="P79" i="1"/>
  <c r="O79" i="1"/>
  <c r="M79" i="1"/>
  <c r="P78" i="1"/>
  <c r="O78" i="1"/>
  <c r="M78" i="1"/>
  <c r="P77" i="1"/>
  <c r="O77" i="1"/>
  <c r="M77" i="1"/>
  <c r="P76" i="1"/>
  <c r="O76" i="1"/>
  <c r="M76" i="1"/>
  <c r="P75" i="1"/>
  <c r="O75" i="1"/>
  <c r="M75" i="1"/>
  <c r="P74" i="1"/>
  <c r="O74" i="1"/>
  <c r="M74" i="1"/>
  <c r="P73" i="1"/>
  <c r="O73" i="1"/>
  <c r="M73" i="1"/>
  <c r="P72" i="1"/>
  <c r="O72" i="1"/>
  <c r="M72" i="1"/>
  <c r="P71" i="1"/>
  <c r="O71" i="1"/>
  <c r="M71" i="1"/>
  <c r="P70" i="1"/>
  <c r="O70" i="1"/>
  <c r="M70" i="1"/>
  <c r="P69" i="1"/>
  <c r="O69" i="1"/>
  <c r="M69" i="1"/>
  <c r="P68" i="1"/>
  <c r="O68" i="1"/>
  <c r="M68" i="1"/>
  <c r="P67" i="1"/>
  <c r="O67" i="1"/>
  <c r="M67" i="1"/>
  <c r="P66" i="1"/>
  <c r="O66" i="1"/>
  <c r="M66" i="1"/>
  <c r="P65" i="1"/>
  <c r="O65" i="1"/>
  <c r="M65" i="1"/>
  <c r="P64" i="1"/>
  <c r="O64" i="1"/>
  <c r="M64" i="1"/>
  <c r="P63" i="1"/>
  <c r="O63" i="1"/>
  <c r="M63" i="1"/>
  <c r="P62" i="1"/>
  <c r="O62" i="1"/>
  <c r="M62" i="1"/>
  <c r="P61" i="1"/>
  <c r="O61" i="1"/>
  <c r="M61" i="1"/>
  <c r="P60" i="1"/>
  <c r="O60" i="1"/>
  <c r="M60" i="1"/>
  <c r="P59" i="1"/>
  <c r="O59" i="1"/>
  <c r="M59" i="1"/>
  <c r="P58" i="1"/>
  <c r="O58" i="1"/>
  <c r="M58" i="1"/>
  <c r="P57" i="1"/>
  <c r="O57" i="1"/>
  <c r="M57" i="1"/>
  <c r="P56" i="1"/>
  <c r="O56" i="1"/>
  <c r="M56" i="1"/>
  <c r="P55" i="1"/>
  <c r="O55" i="1"/>
  <c r="M55" i="1"/>
  <c r="P54" i="1"/>
  <c r="O54" i="1"/>
  <c r="M54" i="1"/>
  <c r="P53" i="1"/>
  <c r="O53" i="1"/>
  <c r="M53" i="1"/>
  <c r="P52" i="1"/>
  <c r="O52" i="1"/>
  <c r="M52" i="1"/>
  <c r="P51" i="1"/>
  <c r="O51" i="1"/>
  <c r="M51" i="1"/>
  <c r="P50" i="1"/>
  <c r="O50" i="1"/>
  <c r="M50" i="1"/>
  <c r="P49" i="1"/>
  <c r="O49" i="1"/>
  <c r="M49" i="1"/>
  <c r="P48" i="1"/>
  <c r="O48" i="1"/>
  <c r="M48" i="1"/>
  <c r="P47" i="1"/>
  <c r="O47" i="1"/>
  <c r="M47" i="1"/>
  <c r="P46" i="1"/>
  <c r="O46" i="1"/>
  <c r="M46" i="1"/>
  <c r="P45" i="1"/>
  <c r="O45" i="1"/>
  <c r="M45" i="1"/>
  <c r="P44" i="1"/>
  <c r="O44" i="1"/>
  <c r="M44" i="1"/>
  <c r="P43" i="1"/>
  <c r="O43" i="1"/>
  <c r="M43" i="1"/>
  <c r="P42" i="1"/>
  <c r="O42" i="1"/>
  <c r="M42" i="1"/>
  <c r="P41" i="1"/>
  <c r="O41" i="1"/>
  <c r="M41" i="1"/>
  <c r="P40" i="1"/>
  <c r="O40" i="1"/>
  <c r="M40" i="1"/>
  <c r="P39" i="1"/>
  <c r="O39" i="1"/>
  <c r="M39" i="1"/>
  <c r="P38" i="1"/>
  <c r="O38" i="1"/>
  <c r="M38" i="1"/>
  <c r="P37" i="1"/>
  <c r="O37" i="1"/>
  <c r="M37" i="1"/>
  <c r="P36" i="1"/>
  <c r="O36" i="1"/>
  <c r="M36" i="1"/>
  <c r="P35" i="1"/>
  <c r="O35" i="1"/>
  <c r="M35" i="1"/>
  <c r="P34" i="1"/>
  <c r="O34" i="1"/>
  <c r="M34" i="1"/>
  <c r="P33" i="1"/>
  <c r="O33" i="1"/>
  <c r="M33" i="1"/>
  <c r="P32" i="1"/>
  <c r="O32" i="1"/>
  <c r="M32" i="1"/>
  <c r="P31" i="1"/>
  <c r="O31" i="1"/>
  <c r="M31" i="1"/>
  <c r="P30" i="1"/>
  <c r="O30" i="1"/>
  <c r="M30" i="1"/>
  <c r="P29" i="1"/>
  <c r="O29" i="1"/>
  <c r="M29" i="1"/>
  <c r="P28" i="1"/>
  <c r="O28" i="1"/>
  <c r="M28" i="1"/>
  <c r="P27" i="1"/>
  <c r="O27" i="1"/>
  <c r="M27" i="1"/>
  <c r="P26" i="1"/>
  <c r="O26" i="1"/>
  <c r="M26" i="1"/>
  <c r="P25" i="1"/>
  <c r="O25" i="1"/>
  <c r="M25" i="1"/>
  <c r="P24" i="1"/>
  <c r="O24" i="1"/>
  <c r="M24" i="1"/>
  <c r="P23" i="1"/>
  <c r="O23" i="1"/>
  <c r="M23" i="1"/>
  <c r="P22" i="1"/>
  <c r="O22" i="1"/>
  <c r="M22" i="1"/>
  <c r="P21" i="1"/>
  <c r="O21" i="1"/>
  <c r="M21" i="1"/>
  <c r="P20" i="1"/>
  <c r="O20" i="1"/>
  <c r="M20" i="1"/>
  <c r="P19" i="1"/>
  <c r="O19" i="1"/>
  <c r="M19" i="1"/>
  <c r="P18" i="1"/>
  <c r="O18" i="1"/>
  <c r="M18" i="1"/>
  <c r="P17" i="1"/>
  <c r="O17" i="1"/>
  <c r="M17" i="1"/>
  <c r="P16" i="1"/>
  <c r="O16" i="1"/>
  <c r="M16" i="1"/>
  <c r="P15" i="1"/>
  <c r="O15" i="1"/>
  <c r="M15" i="1"/>
  <c r="P14" i="1"/>
  <c r="O14" i="1"/>
  <c r="M14" i="1"/>
  <c r="P13" i="1"/>
  <c r="O13" i="1"/>
  <c r="M13" i="1"/>
  <c r="P12" i="1"/>
  <c r="O12" i="1"/>
  <c r="M12" i="1"/>
  <c r="P11" i="1"/>
  <c r="O11" i="1"/>
  <c r="M11" i="1"/>
  <c r="P10" i="1"/>
  <c r="O10" i="1"/>
  <c r="M10" i="1"/>
  <c r="P9" i="1"/>
  <c r="O9" i="1"/>
  <c r="M9" i="1"/>
  <c r="P8" i="1"/>
  <c r="O8" i="1"/>
  <c r="M8" i="1"/>
  <c r="P7" i="1"/>
  <c r="O7" i="1"/>
  <c r="M7" i="1"/>
  <c r="P6" i="1"/>
  <c r="O6" i="1"/>
  <c r="M6" i="1"/>
  <c r="P5" i="1"/>
  <c r="O5" i="1"/>
  <c r="M5" i="1"/>
  <c r="P4" i="1"/>
  <c r="O4" i="1"/>
  <c r="M4" i="1"/>
  <c r="P3" i="1"/>
  <c r="O3" i="1"/>
  <c r="M3" i="1"/>
  <c r="P2" i="1"/>
  <c r="O2" i="1"/>
  <c r="M2" i="1"/>
</calcChain>
</file>

<file path=xl/sharedStrings.xml><?xml version="1.0" encoding="utf-8"?>
<sst xmlns="http://schemas.openxmlformats.org/spreadsheetml/2006/main" count="2956" uniqueCount="673">
  <si>
    <t>Index</t>
  </si>
  <si>
    <t>Gender</t>
  </si>
  <si>
    <t>Date</t>
  </si>
  <si>
    <t>Category</t>
  </si>
  <si>
    <t>Qty</t>
  </si>
  <si>
    <t>SR101</t>
  </si>
  <si>
    <t>C1001</t>
  </si>
  <si>
    <t>Male</t>
  </si>
  <si>
    <t>UPI</t>
  </si>
  <si>
    <t>INR</t>
  </si>
  <si>
    <t>SR102</t>
  </si>
  <si>
    <t>C1002</t>
  </si>
  <si>
    <t>Female</t>
  </si>
  <si>
    <t>Priya Nair</t>
  </si>
  <si>
    <t>Cotton-Kurti</t>
  </si>
  <si>
    <t>SR103</t>
  </si>
  <si>
    <t>C1003</t>
  </si>
  <si>
    <t>Rohan Verma</t>
  </si>
  <si>
    <t>Denim-Jacket</t>
  </si>
  <si>
    <t>SR104</t>
  </si>
  <si>
    <t>C1004</t>
  </si>
  <si>
    <t>Ananya Rao</t>
  </si>
  <si>
    <t>Floral-Dress</t>
  </si>
  <si>
    <t>SR105</t>
  </si>
  <si>
    <t>C1005</t>
  </si>
  <si>
    <t>Karthik Reddy</t>
  </si>
  <si>
    <t>SR106</t>
  </si>
  <si>
    <t>C1006</t>
  </si>
  <si>
    <t>Hoodie</t>
  </si>
  <si>
    <t>SR107</t>
  </si>
  <si>
    <t>C1007</t>
  </si>
  <si>
    <t>SR108</t>
  </si>
  <si>
    <t>C1008</t>
  </si>
  <si>
    <t>SR109</t>
  </si>
  <si>
    <t>C1009</t>
  </si>
  <si>
    <t>Jeans</t>
  </si>
  <si>
    <t>SR110</t>
  </si>
  <si>
    <t>C1010</t>
  </si>
  <si>
    <t>SR111</t>
  </si>
  <si>
    <t>C1011</t>
  </si>
  <si>
    <t>Sweatshirt</t>
  </si>
  <si>
    <t>SR112</t>
  </si>
  <si>
    <t>C1012</t>
  </si>
  <si>
    <t>Maxi-Dress</t>
  </si>
  <si>
    <t>SR113</t>
  </si>
  <si>
    <t>C1013</t>
  </si>
  <si>
    <t>SR114</t>
  </si>
  <si>
    <t>C1014</t>
  </si>
  <si>
    <t>Palazzo-Pants</t>
  </si>
  <si>
    <t>SR115</t>
  </si>
  <si>
    <t>C1015</t>
  </si>
  <si>
    <t>Tracksuit</t>
  </si>
  <si>
    <t>SR116</t>
  </si>
  <si>
    <t>C1016</t>
  </si>
  <si>
    <t>Saree</t>
  </si>
  <si>
    <t>SR117</t>
  </si>
  <si>
    <t>C1017</t>
  </si>
  <si>
    <t>SR118</t>
  </si>
  <si>
    <t>C1018</t>
  </si>
  <si>
    <t>SR119</t>
  </si>
  <si>
    <t>C1019</t>
  </si>
  <si>
    <t>Blazer</t>
  </si>
  <si>
    <t>SR120</t>
  </si>
  <si>
    <t>C1020</t>
  </si>
  <si>
    <t>Denim-Skirt</t>
  </si>
  <si>
    <t>SR121</t>
  </si>
  <si>
    <t>C1021</t>
  </si>
  <si>
    <t>SR122</t>
  </si>
  <si>
    <t>C1022</t>
  </si>
  <si>
    <t>Kurti</t>
  </si>
  <si>
    <t>SR123</t>
  </si>
  <si>
    <t>C1023</t>
  </si>
  <si>
    <t>SR124</t>
  </si>
  <si>
    <t>C1024</t>
  </si>
  <si>
    <t>SR125</t>
  </si>
  <si>
    <t>C1025</t>
  </si>
  <si>
    <t>SR126</t>
  </si>
  <si>
    <t>C1026</t>
  </si>
  <si>
    <t>SR127</t>
  </si>
  <si>
    <t>C1027</t>
  </si>
  <si>
    <t>SR128</t>
  </si>
  <si>
    <t>C1028</t>
  </si>
  <si>
    <t>SR129</t>
  </si>
  <si>
    <t>C1029</t>
  </si>
  <si>
    <t>SR130</t>
  </si>
  <si>
    <t>C1030</t>
  </si>
  <si>
    <t>SR131</t>
  </si>
  <si>
    <t>C1031</t>
  </si>
  <si>
    <t>SR132</t>
  </si>
  <si>
    <t>C1032</t>
  </si>
  <si>
    <t>SR133</t>
  </si>
  <si>
    <t>C1033</t>
  </si>
  <si>
    <t>Deepak Nair</t>
  </si>
  <si>
    <t>SR134</t>
  </si>
  <si>
    <t>C1034</t>
  </si>
  <si>
    <t>SR135</t>
  </si>
  <si>
    <t>C1035</t>
  </si>
  <si>
    <t>SR136</t>
  </si>
  <si>
    <t>C1036</t>
  </si>
  <si>
    <t>SR137</t>
  </si>
  <si>
    <t>C1037</t>
  </si>
  <si>
    <t>SR138</t>
  </si>
  <si>
    <t>C1038</t>
  </si>
  <si>
    <t>SR139</t>
  </si>
  <si>
    <t>C1039</t>
  </si>
  <si>
    <t>Casual-Shirt</t>
  </si>
  <si>
    <t>SR140</t>
  </si>
  <si>
    <t>C1040</t>
  </si>
  <si>
    <t>SR141</t>
  </si>
  <si>
    <t>C1041</t>
  </si>
  <si>
    <t>SR142</t>
  </si>
  <si>
    <t>C1042</t>
  </si>
  <si>
    <t>SR143</t>
  </si>
  <si>
    <t>C1043</t>
  </si>
  <si>
    <t>SR144</t>
  </si>
  <si>
    <t>C1044</t>
  </si>
  <si>
    <t>SR145</t>
  </si>
  <si>
    <t>C1045</t>
  </si>
  <si>
    <t>SR146</t>
  </si>
  <si>
    <t>C1046</t>
  </si>
  <si>
    <t>Shreya Nair</t>
  </si>
  <si>
    <t>SR147</t>
  </si>
  <si>
    <t>C1047</t>
  </si>
  <si>
    <t>SR148</t>
  </si>
  <si>
    <t>C1048</t>
  </si>
  <si>
    <t>SR149</t>
  </si>
  <si>
    <t>C1049</t>
  </si>
  <si>
    <t>SR150</t>
  </si>
  <si>
    <t>C1050</t>
  </si>
  <si>
    <t>SR151</t>
  </si>
  <si>
    <t>C1051</t>
  </si>
  <si>
    <t>SR152</t>
  </si>
  <si>
    <t>C1052</t>
  </si>
  <si>
    <t>Ayesha Khan</t>
  </si>
  <si>
    <t>SR153</t>
  </si>
  <si>
    <t>C1053</t>
  </si>
  <si>
    <t>SR154</t>
  </si>
  <si>
    <t>C1054</t>
  </si>
  <si>
    <t>SR155</t>
  </si>
  <si>
    <t>C1055</t>
  </si>
  <si>
    <t>SR156</t>
  </si>
  <si>
    <t>C1056</t>
  </si>
  <si>
    <t>SR157</t>
  </si>
  <si>
    <t>C1057</t>
  </si>
  <si>
    <t>SR158</t>
  </si>
  <si>
    <t>C1058</t>
  </si>
  <si>
    <t>SR159</t>
  </si>
  <si>
    <t>C1059</t>
  </si>
  <si>
    <t>SR160</t>
  </si>
  <si>
    <t>C1060</t>
  </si>
  <si>
    <t>SR161</t>
  </si>
  <si>
    <t>C1061</t>
  </si>
  <si>
    <t>SR162</t>
  </si>
  <si>
    <t>C1062</t>
  </si>
  <si>
    <t>SR163</t>
  </si>
  <si>
    <t>C1063</t>
  </si>
  <si>
    <t>SR164</t>
  </si>
  <si>
    <t>C1064</t>
  </si>
  <si>
    <t>SR165</t>
  </si>
  <si>
    <t>C1065</t>
  </si>
  <si>
    <t>SR166</t>
  </si>
  <si>
    <t>C1066</t>
  </si>
  <si>
    <t>SR167</t>
  </si>
  <si>
    <t>C1067</t>
  </si>
  <si>
    <t>SR168</t>
  </si>
  <si>
    <t>C1068</t>
  </si>
  <si>
    <t>SR169</t>
  </si>
  <si>
    <t>C1069</t>
  </si>
  <si>
    <t>SR170</t>
  </si>
  <si>
    <t>C1070</t>
  </si>
  <si>
    <t>OrderID</t>
  </si>
  <si>
    <t>CustomerID</t>
  </si>
  <si>
    <t>CustomerName</t>
  </si>
  <si>
    <t>DeliveryStatus</t>
  </si>
  <si>
    <t>UnitsSold</t>
  </si>
  <si>
    <t>Revenue</t>
  </si>
  <si>
    <t>PaymentMethod</t>
  </si>
  <si>
    <t>CustomerRating</t>
  </si>
  <si>
    <t>Currency</t>
  </si>
  <si>
    <t>L</t>
  </si>
  <si>
    <t>Bangalore</t>
  </si>
  <si>
    <t>Delivered</t>
  </si>
  <si>
    <t>M</t>
  </si>
  <si>
    <t>Mysore</t>
  </si>
  <si>
    <t>Card</t>
  </si>
  <si>
    <t>XL</t>
  </si>
  <si>
    <t>Chennai</t>
  </si>
  <si>
    <t>Shipped</t>
  </si>
  <si>
    <t>NetBanking</t>
  </si>
  <si>
    <t>Hyderabad</t>
  </si>
  <si>
    <t>Pune</t>
  </si>
  <si>
    <t>Processing</t>
  </si>
  <si>
    <t>Cash</t>
  </si>
  <si>
    <t>Kochi</t>
  </si>
  <si>
    <t>Mumbai</t>
  </si>
  <si>
    <t>S</t>
  </si>
  <si>
    <t>FreeSize</t>
  </si>
  <si>
    <t>Delhi</t>
  </si>
  <si>
    <t>Jaipur</t>
  </si>
  <si>
    <t>Ahmedabad</t>
  </si>
  <si>
    <t>XXL</t>
  </si>
  <si>
    <t>SR171</t>
  </si>
  <si>
    <t>C1071</t>
  </si>
  <si>
    <t>SR172</t>
  </si>
  <si>
    <t>C1072</t>
  </si>
  <si>
    <t>SR173</t>
  </si>
  <si>
    <t>C1073</t>
  </si>
  <si>
    <t>SR174</t>
  </si>
  <si>
    <t>C1074</t>
  </si>
  <si>
    <t>SR175</t>
  </si>
  <si>
    <t>C1075</t>
  </si>
  <si>
    <t>SR176</t>
  </si>
  <si>
    <t>C1076</t>
  </si>
  <si>
    <t>SR177</t>
  </si>
  <si>
    <t>C1077</t>
  </si>
  <si>
    <t>SR178</t>
  </si>
  <si>
    <t>C1078</t>
  </si>
  <si>
    <t>SR179</t>
  </si>
  <si>
    <t>C1079</t>
  </si>
  <si>
    <t>SR180</t>
  </si>
  <si>
    <t>C1080</t>
  </si>
  <si>
    <t>SR181</t>
  </si>
  <si>
    <t>C1081</t>
  </si>
  <si>
    <t>Ishita Kapoor</t>
  </si>
  <si>
    <t>SR182</t>
  </si>
  <si>
    <t>C1082</t>
  </si>
  <si>
    <t>SR183</t>
  </si>
  <si>
    <t>C1083</t>
  </si>
  <si>
    <t>SR184</t>
  </si>
  <si>
    <t>C1084</t>
  </si>
  <si>
    <t>SR185</t>
  </si>
  <si>
    <t>C1085</t>
  </si>
  <si>
    <t>SR186</t>
  </si>
  <si>
    <t>C1086</t>
  </si>
  <si>
    <t>SR187</t>
  </si>
  <si>
    <t>C1087</t>
  </si>
  <si>
    <t>SR188</t>
  </si>
  <si>
    <t>C1088</t>
  </si>
  <si>
    <t>SR189</t>
  </si>
  <si>
    <t>C1089</t>
  </si>
  <si>
    <t>SR190</t>
  </si>
  <si>
    <t>C1090</t>
  </si>
  <si>
    <t>SR191</t>
  </si>
  <si>
    <t>C1091</t>
  </si>
  <si>
    <t>SR192</t>
  </si>
  <si>
    <t>C1092</t>
  </si>
  <si>
    <t>SR193</t>
  </si>
  <si>
    <t>C1093</t>
  </si>
  <si>
    <t>SR194</t>
  </si>
  <si>
    <t>C1094</t>
  </si>
  <si>
    <t>SR195</t>
  </si>
  <si>
    <t>C1095</t>
  </si>
  <si>
    <t>SR196</t>
  </si>
  <si>
    <t>C1096</t>
  </si>
  <si>
    <t>SR197</t>
  </si>
  <si>
    <t>C1097</t>
  </si>
  <si>
    <t>SR198</t>
  </si>
  <si>
    <t>C1098</t>
  </si>
  <si>
    <t>SR199</t>
  </si>
  <si>
    <t>C1099</t>
  </si>
  <si>
    <t>SR200</t>
  </si>
  <si>
    <t>C1100</t>
  </si>
  <si>
    <t>SR201</t>
  </si>
  <si>
    <t>C1101</t>
  </si>
  <si>
    <t>SR202</t>
  </si>
  <si>
    <t>C1102</t>
  </si>
  <si>
    <t>SR203</t>
  </si>
  <si>
    <t>C1103</t>
  </si>
  <si>
    <t>SR204</t>
  </si>
  <si>
    <t>C1104</t>
  </si>
  <si>
    <t>SR205</t>
  </si>
  <si>
    <t>C1105</t>
  </si>
  <si>
    <t>SR206</t>
  </si>
  <si>
    <t>C1106</t>
  </si>
  <si>
    <t>SR207</t>
  </si>
  <si>
    <t>C1107</t>
  </si>
  <si>
    <t>SR208</t>
  </si>
  <si>
    <t>C1108</t>
  </si>
  <si>
    <t>SR209</t>
  </si>
  <si>
    <t>C1109</t>
  </si>
  <si>
    <t>SR210</t>
  </si>
  <si>
    <t>C1110</t>
  </si>
  <si>
    <t>SR211</t>
  </si>
  <si>
    <t>C1111</t>
  </si>
  <si>
    <t>SR212</t>
  </si>
  <si>
    <t>C1112</t>
  </si>
  <si>
    <t>SR213</t>
  </si>
  <si>
    <t>C1113</t>
  </si>
  <si>
    <t>SR214</t>
  </si>
  <si>
    <t>C1114</t>
  </si>
  <si>
    <t>SR215</t>
  </si>
  <si>
    <t>C1115</t>
  </si>
  <si>
    <t>SR216</t>
  </si>
  <si>
    <t>C1116</t>
  </si>
  <si>
    <t>SR217</t>
  </si>
  <si>
    <t>C1117</t>
  </si>
  <si>
    <t>SR218</t>
  </si>
  <si>
    <t>C1118</t>
  </si>
  <si>
    <t>SR219</t>
  </si>
  <si>
    <t>C1119</t>
  </si>
  <si>
    <t>SR220</t>
  </si>
  <si>
    <t>C1120</t>
  </si>
  <si>
    <t>SR221</t>
  </si>
  <si>
    <t>C1121</t>
  </si>
  <si>
    <t>SR222</t>
  </si>
  <si>
    <t>C1122</t>
  </si>
  <si>
    <t>SR223</t>
  </si>
  <si>
    <t>C1123</t>
  </si>
  <si>
    <t>SR224</t>
  </si>
  <si>
    <t>C1124</t>
  </si>
  <si>
    <t>SR225</t>
  </si>
  <si>
    <t>C1125</t>
  </si>
  <si>
    <t>SR226</t>
  </si>
  <si>
    <t>C1126</t>
  </si>
  <si>
    <t>SR227</t>
  </si>
  <si>
    <t>C1127</t>
  </si>
  <si>
    <t>SR228</t>
  </si>
  <si>
    <t>C1128</t>
  </si>
  <si>
    <t>Kunal Patel</t>
  </si>
  <si>
    <t>SR229</t>
  </si>
  <si>
    <t>C1129</t>
  </si>
  <si>
    <t>SR230</t>
  </si>
  <si>
    <t>C1130</t>
  </si>
  <si>
    <t>Aman Kumar</t>
  </si>
  <si>
    <t>SR231</t>
  </si>
  <si>
    <t>C1131</t>
  </si>
  <si>
    <t>Neha Rao</t>
  </si>
  <si>
    <t>SR232</t>
  </si>
  <si>
    <t>C1132</t>
  </si>
  <si>
    <t>Siddharth Jain</t>
  </si>
  <si>
    <t>SR233</t>
  </si>
  <si>
    <t>C1133</t>
  </si>
  <si>
    <t>Komal Sharma</t>
  </si>
  <si>
    <t>SR234</t>
  </si>
  <si>
    <t>C1134</t>
  </si>
  <si>
    <t>Varun Gupta</t>
  </si>
  <si>
    <t>SR235</t>
  </si>
  <si>
    <t>C1135</t>
  </si>
  <si>
    <t>SR236</t>
  </si>
  <si>
    <t>C1136</t>
  </si>
  <si>
    <t>Pranav Reddy</t>
  </si>
  <si>
    <t>SR237</t>
  </si>
  <si>
    <t>C1137</t>
  </si>
  <si>
    <t>SR238</t>
  </si>
  <si>
    <t>C1138</t>
  </si>
  <si>
    <t>SR239</t>
  </si>
  <si>
    <t>C1139</t>
  </si>
  <si>
    <t>Bhavna Patel</t>
  </si>
  <si>
    <t>SR240</t>
  </si>
  <si>
    <t>C1140</t>
  </si>
  <si>
    <t>Abhishek Sharma</t>
  </si>
  <si>
    <t>Price</t>
  </si>
  <si>
    <t>OversizedT-Shirt</t>
  </si>
  <si>
    <t>CargoPants</t>
  </si>
  <si>
    <t>PoloT-Shirt</t>
  </si>
  <si>
    <t>EthnicSet</t>
  </si>
  <si>
    <t>CropTop</t>
  </si>
  <si>
    <t>FormalShirt</t>
  </si>
  <si>
    <t>Jumbosuit</t>
  </si>
  <si>
    <t>Co-ordSet</t>
  </si>
  <si>
    <t>Suresh Sharma</t>
  </si>
  <si>
    <t>Pooja Bhat</t>
  </si>
  <si>
    <t>Aaravsharma</t>
  </si>
  <si>
    <t>Meeraiyer</t>
  </si>
  <si>
    <t>Adityasingh</t>
  </si>
  <si>
    <t>Snehakapoor</t>
  </si>
  <si>
    <t>Vivekjoshi</t>
  </si>
  <si>
    <t>Poojamenon</t>
  </si>
  <si>
    <t>Nikhildas</t>
  </si>
  <si>
    <t>Aishakhan</t>
  </si>
  <si>
    <t>Harshpatel</t>
  </si>
  <si>
    <t>Diyashetty</t>
  </si>
  <si>
    <t>Yashmalhotra</t>
  </si>
  <si>
    <t>Riyakulkarni</t>
  </si>
  <si>
    <t>Devmehta</t>
  </si>
  <si>
    <t>Tanvijain</t>
  </si>
  <si>
    <t>Aryangupta</t>
  </si>
  <si>
    <t>Ishitabansal</t>
  </si>
  <si>
    <t>Akashkumar</t>
  </si>
  <si>
    <t>Nehasharma</t>
  </si>
  <si>
    <t>Rahuljain</t>
  </si>
  <si>
    <t>Kavyanair</t>
  </si>
  <si>
    <t>Sandeeprao</t>
  </si>
  <si>
    <t>Anjalipatel</t>
  </si>
  <si>
    <t>Mohitverma</t>
  </si>
  <si>
    <t>Ritusingh</t>
  </si>
  <si>
    <t>Varunmehta</t>
  </si>
  <si>
    <t>Simrankaur</t>
  </si>
  <si>
    <t>Arjunreddy</t>
  </si>
  <si>
    <t>Poojashah</t>
  </si>
  <si>
    <t>Deepaknair</t>
  </si>
  <si>
    <t>Aartimenon</t>
  </si>
  <si>
    <t>Pranavjoshi</t>
  </si>
  <si>
    <t>Snehalpatil</t>
  </si>
  <si>
    <t>Rakeshdas</t>
  </si>
  <si>
    <t>Nandinirao</t>
  </si>
  <si>
    <t>Viveksharma</t>
  </si>
  <si>
    <t>Bhavnajain</t>
  </si>
  <si>
    <t>Rohitpatel</t>
  </si>
  <si>
    <t>Ishakapoor</t>
  </si>
  <si>
    <t>Kunalsingh</t>
  </si>
  <si>
    <t>Mehakarora</t>
  </si>
  <si>
    <t>Tarunkumar</t>
  </si>
  <si>
    <t>Shreyanair</t>
  </si>
  <si>
    <t>Amangupta</t>
  </si>
  <si>
    <t>Divyareddy</t>
  </si>
  <si>
    <t>Siddharth Shah</t>
  </si>
  <si>
    <t>Hariniiyer</t>
  </si>
  <si>
    <t>Nitinverma</t>
  </si>
  <si>
    <t>Ayeshakhan</t>
  </si>
  <si>
    <t>Gauravmehta</t>
  </si>
  <si>
    <t>Kritikasharma</t>
  </si>
  <si>
    <t>Manishrao</t>
  </si>
  <si>
    <t>Radhikamenon</t>
  </si>
  <si>
    <t>Abhishekdas</t>
  </si>
  <si>
    <t>Monikajain</t>
  </si>
  <si>
    <t>Akashnair</t>
  </si>
  <si>
    <t>Nishagupta</t>
  </si>
  <si>
    <t>Rohityadav</t>
  </si>
  <si>
    <t>Kavyamenon</t>
  </si>
  <si>
    <t>Sandeepreddy</t>
  </si>
  <si>
    <t>Bhavnashah</t>
  </si>
  <si>
    <t>Manishverma</t>
  </si>
  <si>
    <t>Aditijoshi</t>
  </si>
  <si>
    <t>Pranavshetty</t>
  </si>
  <si>
    <t>Ritukapoor</t>
  </si>
  <si>
    <t>Ananyasharma</t>
  </si>
  <si>
    <t>Vivekkumar</t>
  </si>
  <si>
    <t>Meeranair</t>
  </si>
  <si>
    <t>Arjunpatel</t>
  </si>
  <si>
    <t>Snehareddy</t>
  </si>
  <si>
    <t>Karthikrao</t>
  </si>
  <si>
    <t>Poojajain</t>
  </si>
  <si>
    <t>Nikhilverma</t>
  </si>
  <si>
    <t>Ishitakapoor</t>
  </si>
  <si>
    <t>Rahuldas</t>
  </si>
  <si>
    <t>Tanvishetty</t>
  </si>
  <si>
    <t>Siddharthnair</t>
  </si>
  <si>
    <t>Divyarao</t>
  </si>
  <si>
    <t>Rohitsharma</t>
  </si>
  <si>
    <t>Nehaiyer</t>
  </si>
  <si>
    <t>Akshaymehta</t>
  </si>
  <si>
    <t>Shwetarao</t>
  </si>
  <si>
    <t>Ajayverma</t>
  </si>
  <si>
    <t>Nidhikapoor</t>
  </si>
  <si>
    <t>Rohitnair</t>
  </si>
  <si>
    <t>Kavitasharma</t>
  </si>
  <si>
    <t>Manavpatel</t>
  </si>
  <si>
    <t>Rheamenon</t>
  </si>
  <si>
    <t>Kunaljoshi</t>
  </si>
  <si>
    <t>Pritijain</t>
  </si>
  <si>
    <t>Saurabhgupta</t>
  </si>
  <si>
    <t>Anushareddy</t>
  </si>
  <si>
    <t>Harshitsingh</t>
  </si>
  <si>
    <t>Deepikaiyer</t>
  </si>
  <si>
    <t>Arvindkumar</t>
  </si>
  <si>
    <t>Sonalshah</t>
  </si>
  <si>
    <t>Nitinrao</t>
  </si>
  <si>
    <t>Komalverma</t>
  </si>
  <si>
    <t>Siddhantpatel</t>
  </si>
  <si>
    <t>Nainakapoor</t>
  </si>
  <si>
    <t>Yashsharma</t>
  </si>
  <si>
    <t>Priyankanair</t>
  </si>
  <si>
    <t>Rohangupta</t>
  </si>
  <si>
    <t>Anjalisharma</t>
  </si>
  <si>
    <t>Karanverma</t>
  </si>
  <si>
    <t>Nishapatel</t>
  </si>
  <si>
    <t>Arjunrao</t>
  </si>
  <si>
    <t>Ritumenon</t>
  </si>
  <si>
    <t>Vivekjain</t>
  </si>
  <si>
    <t>Poojakapoor</t>
  </si>
  <si>
    <t>Akshaysingh</t>
  </si>
  <si>
    <t>Harshnair</t>
  </si>
  <si>
    <t>Aditishah</t>
  </si>
  <si>
    <t>Kavyareddy</t>
  </si>
  <si>
    <t>Nitinsharma</t>
  </si>
  <si>
    <t>Divyamenon</t>
  </si>
  <si>
    <t>Oversized T-Shirt</t>
  </si>
  <si>
    <t>Net Banking</t>
  </si>
  <si>
    <t>Cargo Pants</t>
  </si>
  <si>
    <t>Meera Iyer</t>
  </si>
  <si>
    <t>Polo T-Shirt</t>
  </si>
  <si>
    <t>Ethnic Set</t>
  </si>
  <si>
    <t>Crop Top</t>
  </si>
  <si>
    <t>Maxi Dress</t>
  </si>
  <si>
    <t>Harsh Patel</t>
  </si>
  <si>
    <t>Formal Shirt</t>
  </si>
  <si>
    <t>Palazzo Pants</t>
  </si>
  <si>
    <t>Graphic Tee</t>
  </si>
  <si>
    <t>Co-ord Set</t>
  </si>
  <si>
    <t>Denim Skirt</t>
  </si>
  <si>
    <t>Ananya Sharma</t>
  </si>
  <si>
    <t>Vivek Kumar</t>
  </si>
  <si>
    <t>Meera Nair</t>
  </si>
  <si>
    <t>Free Size</t>
  </si>
  <si>
    <t>Arjun Patel</t>
  </si>
  <si>
    <t>Sneha Reddy</t>
  </si>
  <si>
    <t>Karthik Rao</t>
  </si>
  <si>
    <t>Pooja Jain</t>
  </si>
  <si>
    <t>Nikhil Verma</t>
  </si>
  <si>
    <t>Radhika Menon</t>
  </si>
  <si>
    <t>Aman Gupta</t>
  </si>
  <si>
    <t>Rahul Das</t>
  </si>
  <si>
    <t>Tanvi Shetty</t>
  </si>
  <si>
    <t>Siddharth Nair</t>
  </si>
  <si>
    <t>Divya Rao</t>
  </si>
  <si>
    <t>Rohit Sharma</t>
  </si>
  <si>
    <t>Neha Iyer</t>
  </si>
  <si>
    <t>Akshay Mehta</t>
  </si>
  <si>
    <t>Casual Shirt</t>
  </si>
  <si>
    <t>Shweta Rao</t>
  </si>
  <si>
    <t>Ajay Verma</t>
  </si>
  <si>
    <t>Nidhi Kapoor</t>
  </si>
  <si>
    <t>Rohit Nair</t>
  </si>
  <si>
    <t>Kavita Sharma</t>
  </si>
  <si>
    <t>Manav Patel</t>
  </si>
  <si>
    <t>Rhea Menon</t>
  </si>
  <si>
    <t>Kunal Joshi</t>
  </si>
  <si>
    <t>Priti Jain</t>
  </si>
  <si>
    <t>Saurabh Gupta</t>
  </si>
  <si>
    <t>Anusha Reddy</t>
  </si>
  <si>
    <t>Harshit Singh</t>
  </si>
  <si>
    <t>Deepika Iyer</t>
  </si>
  <si>
    <t>Arvind Kumar</t>
  </si>
  <si>
    <t>Sonal Shah</t>
  </si>
  <si>
    <t>Nitin Rao</t>
  </si>
  <si>
    <t>Komal Verma</t>
  </si>
  <si>
    <t>Siddhant Patel</t>
  </si>
  <si>
    <t>Naina Kapoor</t>
  </si>
  <si>
    <t>Yash Sharma</t>
  </si>
  <si>
    <t>Priyanka Nair</t>
  </si>
  <si>
    <t>Rohan Gupta</t>
  </si>
  <si>
    <t>Anjali Sharma</t>
  </si>
  <si>
    <t>Karan Verma</t>
  </si>
  <si>
    <t>Nisha Patel</t>
  </si>
  <si>
    <t>Arjun Rao</t>
  </si>
  <si>
    <t>Ritu Menon</t>
  </si>
  <si>
    <t>Vivek Jain</t>
  </si>
  <si>
    <t>Pooja Kapoor</t>
  </si>
  <si>
    <t>Akshay Singh</t>
  </si>
  <si>
    <t>Harsh Nair</t>
  </si>
  <si>
    <t>Aditi Shah</t>
  </si>
  <si>
    <t>Kavya Reddy</t>
  </si>
  <si>
    <t>Nitin Sharma</t>
  </si>
  <si>
    <t>Divya Menon</t>
  </si>
  <si>
    <t>SellThroughRate%</t>
  </si>
  <si>
    <t>Month</t>
  </si>
  <si>
    <t>Sum of Revenue</t>
  </si>
  <si>
    <t>Grand Total</t>
  </si>
  <si>
    <t>MONTHS</t>
  </si>
  <si>
    <t>No of orders</t>
  </si>
  <si>
    <t>Denim-Shirt</t>
  </si>
  <si>
    <t>Row Labels</t>
  </si>
  <si>
    <t>Size</t>
  </si>
  <si>
    <t>City</t>
  </si>
  <si>
    <t>PAYMENT METHOD</t>
  </si>
  <si>
    <t>CITY WISE REVENUE ANALYSIS</t>
  </si>
  <si>
    <t>2026-27</t>
  </si>
  <si>
    <t>APRIL MAY JUNE</t>
  </si>
  <si>
    <t>Gender wise sales</t>
  </si>
  <si>
    <t>Count of OrderID</t>
  </si>
  <si>
    <t>Average of SellThroughRate%</t>
  </si>
  <si>
    <t>CATEGORY</t>
  </si>
  <si>
    <t>June</t>
  </si>
  <si>
    <t xml:space="preserve"> </t>
  </si>
  <si>
    <t>RETAIL SALES PERFORMANCE</t>
  </si>
  <si>
    <t xml:space="preserve">RETAIL </t>
  </si>
  <si>
    <t>SALES</t>
  </si>
  <si>
    <t>Analytics Dashboard  -  April May June 2026</t>
  </si>
  <si>
    <t xml:space="preserve">MICROSOFT EXCEL            .        RETAIL INDUSTRY             .          INDIA </t>
  </si>
  <si>
    <t xml:space="preserve">ANALYST : FATHIMA SUZAIN </t>
  </si>
  <si>
    <t xml:space="preserve">TOOLS : MICROSOFT EXCEL   </t>
  </si>
  <si>
    <t xml:space="preserve">DATA SET : 140 ORDERS </t>
  </si>
  <si>
    <t xml:space="preserve">COLUMNS : 19   </t>
  </si>
  <si>
    <t>PERIOD</t>
  </si>
  <si>
    <t>: APRIL -JUNE 2026</t>
  </si>
  <si>
    <t>CONTENTS</t>
  </si>
  <si>
    <t xml:space="preserve"> TABLE OF</t>
  </si>
  <si>
    <t>Raw  Data</t>
  </si>
  <si>
    <t>PROCESSED DATA</t>
  </si>
  <si>
    <t>MONTHLY ORDERS AND REVENUE</t>
  </si>
  <si>
    <t>CITY WISE REVENUE</t>
  </si>
  <si>
    <t>GENDER WISE REVENUE</t>
  </si>
  <si>
    <t>DATA ANALYTICS EXCEL PORTFOLIO              .        2026-27</t>
  </si>
  <si>
    <t>category wise revenue</t>
  </si>
  <si>
    <t xml:space="preserve"> payment method analysis</t>
  </si>
  <si>
    <t xml:space="preserve"> delivery status analysis</t>
  </si>
  <si>
    <t>dashboard</t>
  </si>
  <si>
    <r>
      <t xml:space="preserve"> </t>
    </r>
    <r>
      <rPr>
        <b/>
        <sz val="28"/>
        <color theme="0"/>
        <rFont val="Crimson Pro"/>
      </rPr>
      <t xml:space="preserve">MONTHLY WISE </t>
    </r>
    <r>
      <rPr>
        <b/>
        <sz val="28"/>
        <color rgb="FFFFC000"/>
        <rFont val="Crimson Pro"/>
      </rPr>
      <t>ORDERS AND REVENUE</t>
    </r>
  </si>
  <si>
    <r>
      <t xml:space="preserve"> </t>
    </r>
    <r>
      <rPr>
        <b/>
        <sz val="26"/>
        <color theme="2"/>
        <rFont val="Times New Roman"/>
        <family val="1"/>
      </rPr>
      <t xml:space="preserve">GENDER WISE </t>
    </r>
    <r>
      <rPr>
        <b/>
        <sz val="26"/>
        <color rgb="FFFFC000"/>
        <rFont val="Times New Roman"/>
        <family val="1"/>
      </rPr>
      <t>SALES ANALYSIS</t>
    </r>
  </si>
  <si>
    <r>
      <t xml:space="preserve">CITY WISE </t>
    </r>
    <r>
      <rPr>
        <b/>
        <sz val="26"/>
        <color rgb="FFFFC000"/>
        <rFont val="Times New Roman"/>
        <family val="1"/>
      </rPr>
      <t>REVENUE ANALYSIS</t>
    </r>
  </si>
  <si>
    <r>
      <t xml:space="preserve">  </t>
    </r>
    <r>
      <rPr>
        <b/>
        <sz val="26"/>
        <color theme="0"/>
        <rFont val="Times New Roman"/>
        <family val="1"/>
      </rPr>
      <t xml:space="preserve">CATEGORY </t>
    </r>
    <r>
      <rPr>
        <b/>
        <sz val="26"/>
        <color rgb="FFFFC000"/>
        <rFont val="Times New Roman"/>
        <family val="1"/>
      </rPr>
      <t>WISE REVENUE</t>
    </r>
  </si>
  <si>
    <r>
      <rPr>
        <b/>
        <sz val="26"/>
        <color theme="0"/>
        <rFont val="Times New Roman"/>
        <family val="1"/>
      </rPr>
      <t>PAYMENT METHOD WISE</t>
    </r>
    <r>
      <rPr>
        <b/>
        <sz val="26"/>
        <color rgb="FFFFC000"/>
        <rFont val="Times New Roman"/>
        <family val="1"/>
      </rPr>
      <t xml:space="preserve"> REVENUE ANALYSIS</t>
    </r>
  </si>
  <si>
    <r>
      <t xml:space="preserve"> </t>
    </r>
    <r>
      <rPr>
        <b/>
        <sz val="26"/>
        <color theme="2"/>
        <rFont val="Times New Roman"/>
        <family val="1"/>
      </rPr>
      <t>SELL THROUGH RATE ANALYSIS</t>
    </r>
  </si>
  <si>
    <r>
      <t xml:space="preserve"> </t>
    </r>
    <r>
      <rPr>
        <b/>
        <sz val="26"/>
        <color theme="2"/>
        <rFont val="Times New Roman"/>
        <family val="1"/>
      </rPr>
      <t>ORDER FULFILLMENT ANALYSIS</t>
    </r>
  </si>
  <si>
    <t xml:space="preserve">PROJECT </t>
  </si>
  <si>
    <t>SUMMARY</t>
  </si>
  <si>
    <t>Retail Sales Intelligence · April to June 2026</t>
  </si>
  <si>
    <t>📋About the Project</t>
  </si>
  <si>
    <t>🛠Tools &amp; Dataset</t>
  </si>
  <si>
    <t>April</t>
  </si>
  <si>
    <t>May</t>
  </si>
  <si>
    <t xml:space="preserve"> sell- through rate analysis</t>
  </si>
  <si>
    <t>\</t>
  </si>
  <si>
    <t>Customer Name</t>
  </si>
  <si>
    <t>Delivery Status</t>
  </si>
  <si>
    <t>Payment Method</t>
  </si>
  <si>
    <t>Aarav Sharma</t>
  </si>
  <si>
    <t>Aditya Singh</t>
  </si>
  <si>
    <t>Sneha Kapoor</t>
  </si>
  <si>
    <t>Vivek Joshi</t>
  </si>
  <si>
    <t>Pooja Menon</t>
  </si>
  <si>
    <t>Nikhil Das</t>
  </si>
  <si>
    <t>Aisha Khan</t>
  </si>
  <si>
    <t>Diya Shetty</t>
  </si>
  <si>
    <t>Yash Malhotra</t>
  </si>
  <si>
    <t>Riya Kulkarni</t>
  </si>
  <si>
    <t>Dev Mehta</t>
  </si>
  <si>
    <t>Tanvi Jain</t>
  </si>
  <si>
    <t>Aryan Gupta</t>
  </si>
  <si>
    <t>Ishita Bansal</t>
  </si>
  <si>
    <t>Akash Kumar</t>
  </si>
  <si>
    <t>Neha Sharma</t>
  </si>
  <si>
    <t>Rahul Jain</t>
  </si>
  <si>
    <t>Kavya Nair</t>
  </si>
  <si>
    <t>Sandeep Rao</t>
  </si>
  <si>
    <t>Anjali Patel</t>
  </si>
  <si>
    <t>Mohit Verma</t>
  </si>
  <si>
    <t>Ritu Singh</t>
  </si>
  <si>
    <t>Varun Mehta</t>
  </si>
  <si>
    <t>Simran Kaur</t>
  </si>
  <si>
    <t>Arjun Reddy</t>
  </si>
  <si>
    <t>Pooja Shah</t>
  </si>
  <si>
    <t>Aarti Menon</t>
  </si>
  <si>
    <t>Pranav Joshi</t>
  </si>
  <si>
    <t>Snehal Patil</t>
  </si>
  <si>
    <t>Rakesh Das</t>
  </si>
  <si>
    <t>Nandini Rao</t>
  </si>
  <si>
    <t>Vivek Sharma</t>
  </si>
  <si>
    <t>Bhavna Jain</t>
  </si>
  <si>
    <t>Rohit Patel</t>
  </si>
  <si>
    <t>Isha Kapoor</t>
  </si>
  <si>
    <t>Kunal Singh</t>
  </si>
  <si>
    <t>Mehak Arora</t>
  </si>
  <si>
    <t>Tarun Kumar</t>
  </si>
  <si>
    <t>Divya Reddy</t>
  </si>
  <si>
    <t>Harini Iyer</t>
  </si>
  <si>
    <t>Nitin Verma</t>
  </si>
  <si>
    <t>Gaurav Mehta</t>
  </si>
  <si>
    <t>Manish Rao</t>
  </si>
  <si>
    <t>Abhishek Das</t>
  </si>
  <si>
    <t>Monika Jain</t>
  </si>
  <si>
    <t>Akash Nair</t>
  </si>
  <si>
    <t>Nisha Gupta</t>
  </si>
  <si>
    <t>Rohit Yadav</t>
  </si>
  <si>
    <t>Kavya Menon</t>
  </si>
  <si>
    <t>Sandeep Reddy</t>
  </si>
  <si>
    <t>Bhavna Shah</t>
  </si>
  <si>
    <t>Manish Verma</t>
  </si>
  <si>
    <t>Aditi Joshi</t>
  </si>
  <si>
    <t>Pranav Shetty</t>
  </si>
  <si>
    <t>Ritu Kapoor</t>
  </si>
  <si>
    <t>Order ID</t>
  </si>
  <si>
    <t>Customer ID</t>
  </si>
  <si>
    <t>Units Sold</t>
  </si>
  <si>
    <t>Customer Rating</t>
  </si>
  <si>
    <t>Cotton Kurti</t>
  </si>
  <si>
    <t>Denim Jacket</t>
  </si>
  <si>
    <t>Floral Dress</t>
  </si>
  <si>
    <t>Kritika Sharma</t>
  </si>
  <si>
    <t>ANALYSIS</t>
  </si>
  <si>
    <t xml:space="preserve"> % Revenue</t>
  </si>
  <si>
    <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</si>
</sst>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Red]0.00"/>
  </numFmts>
  <fonts count="41" x14ac:knownFonts="1">
    <font>
      <sz val="11"/>
      <color theme="1"/>
      <name val="Aptos Narrow"/>
      <family val="2"/>
      <scheme val="minor"/>
    </font>
    <font>
      <b/>
      <sz val="11"/>
      <color theme="1"/>
      <name val="Aptos Narrow"/>
      <family val="2"/>
      <scheme val="minor"/>
    </font>
    <font>
      <b/>
      <sz val="10"/>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b/>
      <sz val="22"/>
      <color theme="1"/>
      <name val="Times New Roman"/>
      <family val="1"/>
    </font>
    <font>
      <b/>
      <sz val="26"/>
      <color theme="1"/>
      <name val="Times New Roman"/>
      <family val="1"/>
    </font>
    <font>
      <sz val="11"/>
      <color theme="1"/>
      <name val="Trebuchet MS"/>
      <family val="2"/>
    </font>
    <font>
      <sz val="26"/>
      <color theme="1"/>
      <name val="Crimson Pro"/>
    </font>
    <font>
      <sz val="26"/>
      <color rgb="FFFFC000"/>
      <name val="Crimson Pro"/>
    </font>
    <font>
      <sz val="26"/>
      <color theme="1"/>
      <name val="Aptos Narrow"/>
      <family val="2"/>
      <scheme val="minor"/>
    </font>
    <font>
      <sz val="72"/>
      <color theme="0"/>
      <name val="Bebas Neue"/>
      <family val="2"/>
    </font>
    <font>
      <sz val="72"/>
      <color theme="0"/>
      <name val="Aptos Narrow"/>
      <family val="2"/>
      <scheme val="minor"/>
    </font>
    <font>
      <sz val="72"/>
      <color theme="1"/>
      <name val="Aptos Narrow"/>
      <family val="2"/>
      <scheme val="minor"/>
    </font>
    <font>
      <sz val="72"/>
      <color rgb="FFFFC000"/>
      <name val="Bebas Neue"/>
      <family val="2"/>
    </font>
    <font>
      <i/>
      <sz val="26"/>
      <color rgb="FFFFC000"/>
      <name val="Crimson Pro"/>
    </font>
    <font>
      <sz val="16"/>
      <color rgb="FFFFC000"/>
      <name val="Crimson Pro"/>
    </font>
    <font>
      <sz val="16"/>
      <color theme="1"/>
      <name val="Crimson Pro"/>
    </font>
    <font>
      <sz val="11"/>
      <color theme="1"/>
      <name val="Crimson Pro"/>
    </font>
    <font>
      <sz val="14"/>
      <color rgb="FFFFC000"/>
      <name val="Crimson Pro"/>
    </font>
    <font>
      <sz val="14"/>
      <color theme="1"/>
      <name val="Crimson Pro"/>
    </font>
    <font>
      <sz val="11"/>
      <color theme="1"/>
      <name val="Bebas Neue"/>
      <family val="2"/>
    </font>
    <font>
      <sz val="72"/>
      <color theme="1"/>
      <name val="Bebas Neue"/>
      <family val="2"/>
    </font>
    <font>
      <sz val="11"/>
      <color rgb="FFFFC000"/>
      <name val="Aptos Narrow"/>
      <family val="2"/>
      <scheme val="minor"/>
    </font>
    <font>
      <sz val="14"/>
      <color theme="0"/>
      <name val="Bebas Neue"/>
      <family val="2"/>
    </font>
    <font>
      <b/>
      <sz val="28"/>
      <color theme="0"/>
      <name val="Crimson Pro"/>
    </font>
    <font>
      <b/>
      <sz val="28"/>
      <color rgb="FFFFC000"/>
      <name val="Crimson Pro"/>
    </font>
    <font>
      <b/>
      <sz val="26"/>
      <color theme="2"/>
      <name val="Times New Roman"/>
      <family val="1"/>
    </font>
    <font>
      <b/>
      <sz val="26"/>
      <color rgb="FFFFC000"/>
      <name val="Times New Roman"/>
      <family val="1"/>
    </font>
    <font>
      <b/>
      <sz val="26"/>
      <color theme="0"/>
      <name val="Times New Roman"/>
      <family val="1"/>
    </font>
    <font>
      <sz val="11"/>
      <color theme="2"/>
      <name val="Aptos Narrow"/>
      <family val="2"/>
      <scheme val="minor"/>
    </font>
    <font>
      <sz val="11"/>
      <color theme="0" tint="-4.9989318521683403E-2"/>
      <name val="Aptos Narrow"/>
      <family val="2"/>
      <scheme val="minor"/>
    </font>
    <font>
      <sz val="72"/>
      <color theme="0" tint="-4.9989318521683403E-2"/>
      <name val="Bebas Neue"/>
      <family val="2"/>
    </font>
    <font>
      <i/>
      <sz val="10"/>
      <color rgb="FF8A8070"/>
      <name val="Times New Roman"/>
      <family val="1"/>
    </font>
    <font>
      <sz val="9"/>
      <color rgb="FFC0B898"/>
      <name val="Times New Roman"/>
      <family val="1"/>
    </font>
    <font>
      <sz val="12"/>
      <color rgb="FF8A8070"/>
      <name val="Courier New"/>
      <family val="3"/>
    </font>
    <font>
      <sz val="11"/>
      <color rgb="FFFFC000"/>
      <name val="Crimson Pro"/>
    </font>
    <font>
      <sz val="11"/>
      <color rgb="FF080B10"/>
      <name val="Aptos Narrow"/>
      <family val="2"/>
      <scheme val="minor"/>
    </font>
    <font>
      <sz val="11"/>
      <color rgb="FFC9A84C"/>
      <name val="Crimson Pro"/>
    </font>
    <font>
      <sz val="11"/>
      <color rgb="FFFFC000"/>
      <name val="Bebas Neue"/>
    </font>
  </fonts>
  <fills count="14">
    <fill>
      <patternFill patternType="none"/>
    </fill>
    <fill>
      <patternFill patternType="gray125"/>
    </fill>
    <fill>
      <patternFill patternType="solid">
        <fgColor theme="0" tint="-0.14999847407452621"/>
        <bgColor theme="0" tint="-0.14999847407452621"/>
      </patternFill>
    </fill>
    <fill>
      <patternFill patternType="solid">
        <fgColor theme="1"/>
        <bgColor theme="1"/>
      </patternFill>
    </fill>
    <fill>
      <patternFill patternType="solid">
        <fgColor theme="1"/>
        <bgColor indexed="64"/>
      </patternFill>
    </fill>
    <fill>
      <patternFill patternType="solid">
        <fgColor theme="1" tint="4.9989318521683403E-2"/>
        <bgColor indexed="64"/>
      </patternFill>
    </fill>
    <fill>
      <patternFill patternType="solid">
        <fgColor theme="0" tint="-4.9989318521683403E-2"/>
        <bgColor indexed="64"/>
      </patternFill>
    </fill>
    <fill>
      <patternFill patternType="solid">
        <fgColor theme="2" tint="-0.749992370372631"/>
        <bgColor indexed="64"/>
      </patternFill>
    </fill>
    <fill>
      <patternFill patternType="solid">
        <fgColor theme="1"/>
        <bgColor theme="2"/>
      </patternFill>
    </fill>
    <fill>
      <patternFill patternType="solid">
        <fgColor rgb="FF080B10"/>
        <bgColor indexed="64"/>
      </patternFill>
    </fill>
    <fill>
      <patternFill patternType="solid">
        <fgColor rgb="FF0D0F18"/>
        <bgColor indexed="64"/>
      </patternFill>
    </fill>
    <fill>
      <patternFill patternType="solid">
        <fgColor rgb="FFFFC000"/>
        <bgColor indexed="64"/>
      </patternFill>
    </fill>
    <fill>
      <patternFill patternType="solid">
        <fgColor theme="1" tint="4.9989318521683403E-2"/>
        <bgColor theme="1"/>
      </patternFill>
    </fill>
    <fill>
      <patternFill patternType="solid">
        <fgColor theme="1"/>
        <bgColor theme="0" tint="-4.9989318521683403E-2"/>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rgb="FFFFC000"/>
      </left>
      <right style="thin">
        <color rgb="FFFFC000"/>
      </right>
      <top style="thin">
        <color rgb="FFFFC000"/>
      </top>
      <bottom style="thin">
        <color rgb="FFFFC000"/>
      </bottom>
      <diagonal/>
    </border>
    <border>
      <left style="thin">
        <color indexed="64"/>
      </left>
      <right style="thin">
        <color rgb="FFFFC000"/>
      </right>
      <top style="thin">
        <color rgb="FFFFC000"/>
      </top>
      <bottom style="thin">
        <color rgb="FFFFC000"/>
      </bottom>
      <diagonal/>
    </border>
    <border>
      <left style="thin">
        <color indexed="64"/>
      </left>
      <right style="thin">
        <color rgb="FFFFC000"/>
      </right>
      <top style="thin">
        <color indexed="64"/>
      </top>
      <bottom style="thin">
        <color indexed="64"/>
      </bottom>
      <diagonal/>
    </border>
    <border>
      <left style="thin">
        <color rgb="FFFFC000"/>
      </left>
      <right style="thin">
        <color rgb="FFFFC000"/>
      </right>
      <top style="thin">
        <color indexed="64"/>
      </top>
      <bottom style="thin">
        <color rgb="FFFFC000"/>
      </bottom>
      <diagonal/>
    </border>
    <border>
      <left style="thin">
        <color rgb="FFFFC000"/>
      </left>
      <right style="thin">
        <color rgb="FFFFC000"/>
      </right>
      <top style="thin">
        <color rgb="FFFFC000"/>
      </top>
      <bottom style="thin">
        <color indexed="64"/>
      </bottom>
      <diagonal/>
    </border>
    <border>
      <left/>
      <right/>
      <top style="thin">
        <color rgb="FFFFC000"/>
      </top>
      <bottom style="thin">
        <color rgb="FFFFC000"/>
      </bottom>
      <diagonal/>
    </border>
    <border>
      <left style="medium">
        <color theme="1"/>
      </left>
      <right/>
      <top style="thin">
        <color rgb="FFFFC000"/>
      </top>
      <bottom/>
      <diagonal/>
    </border>
    <border>
      <left/>
      <right style="medium">
        <color theme="1"/>
      </right>
      <top style="thin">
        <color rgb="FFFFC000"/>
      </top>
      <bottom/>
      <diagonal/>
    </border>
    <border>
      <left style="medium">
        <color theme="1"/>
      </left>
      <right/>
      <top style="thin">
        <color rgb="FFFFC000"/>
      </top>
      <bottom style="thin">
        <color rgb="FFFFC000"/>
      </bottom>
      <diagonal/>
    </border>
    <border>
      <left/>
      <right style="medium">
        <color theme="1"/>
      </right>
      <top style="thin">
        <color rgb="FFFFC000"/>
      </top>
      <bottom style="thin">
        <color rgb="FFFFC000"/>
      </bottom>
      <diagonal/>
    </border>
    <border>
      <left/>
      <right/>
      <top/>
      <bottom style="thin">
        <color rgb="FFFFCA21"/>
      </bottom>
      <diagonal/>
    </border>
    <border>
      <left style="thin">
        <color rgb="FFFFC000"/>
      </left>
      <right/>
      <top/>
      <bottom style="thin">
        <color rgb="FFFFCA21"/>
      </bottom>
      <diagonal/>
    </border>
    <border>
      <left style="thin">
        <color indexed="64"/>
      </left>
      <right style="thin">
        <color rgb="FFFFCA21"/>
      </right>
      <top style="thin">
        <color indexed="64"/>
      </top>
      <bottom style="thin">
        <color indexed="64"/>
      </bottom>
      <diagonal/>
    </border>
    <border>
      <left style="thin">
        <color indexed="64"/>
      </left>
      <right style="thin">
        <color rgb="FFFFC000"/>
      </right>
      <top style="thin">
        <color indexed="64"/>
      </top>
      <bottom style="thin">
        <color rgb="FFFFC000"/>
      </bottom>
      <diagonal/>
    </border>
    <border>
      <left style="thin">
        <color rgb="FFFFC000"/>
      </left>
      <right style="thin">
        <color rgb="FFFFC000"/>
      </right>
      <top style="thin">
        <color indexed="64"/>
      </top>
      <bottom style="thin">
        <color indexed="64"/>
      </bottom>
      <diagonal/>
    </border>
    <border>
      <left style="thin">
        <color rgb="FFFFC000"/>
      </left>
      <right style="thin">
        <color rgb="FFFFC000"/>
      </right>
      <top style="thin">
        <color rgb="FFFFC000"/>
      </top>
      <bottom/>
      <diagonal/>
    </border>
  </borders>
  <cellStyleXfs count="2">
    <xf numFmtId="0" fontId="0" fillId="0" borderId="0"/>
    <xf numFmtId="9" fontId="3" fillId="0" borderId="0" applyFont="0" applyFill="0" applyBorder="0" applyAlignment="0" applyProtection="0"/>
  </cellStyleXfs>
  <cellXfs count="138">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14" fontId="0" fillId="0" borderId="0" xfId="0" applyNumberFormat="1"/>
    <xf numFmtId="0" fontId="0" fillId="0" borderId="0" xfId="0" applyAlignment="1">
      <alignment horizontal="left"/>
    </xf>
    <xf numFmtId="164" fontId="1" fillId="0" borderId="0" xfId="1" applyNumberFormat="1" applyFont="1"/>
    <xf numFmtId="0" fontId="4" fillId="3" borderId="1" xfId="0" applyFont="1" applyFill="1" applyBorder="1"/>
    <xf numFmtId="0" fontId="4" fillId="3" borderId="1" xfId="0" applyFont="1" applyFill="1" applyBorder="1" applyAlignment="1">
      <alignment horizontal="center"/>
    </xf>
    <xf numFmtId="0" fontId="4" fillId="3" borderId="1" xfId="0" applyFont="1" applyFill="1" applyBorder="1" applyAlignment="1">
      <alignment horizontal="left"/>
    </xf>
    <xf numFmtId="164" fontId="4" fillId="3" borderId="1" xfId="1" applyNumberFormat="1" applyFont="1" applyFill="1" applyBorder="1"/>
    <xf numFmtId="0" fontId="1" fillId="2" borderId="1" xfId="0" applyFont="1" applyFill="1" applyBorder="1"/>
    <xf numFmtId="14" fontId="1" fillId="2" borderId="1" xfId="0" applyNumberFormat="1" applyFont="1" applyFill="1" applyBorder="1" applyAlignment="1">
      <alignment horizontal="center"/>
    </xf>
    <xf numFmtId="0" fontId="1" fillId="2" borderId="1" xfId="0" applyFont="1" applyFill="1" applyBorder="1" applyAlignment="1">
      <alignment horizontal="left"/>
    </xf>
    <xf numFmtId="0" fontId="1" fillId="2" borderId="1" xfId="0" applyFont="1" applyFill="1" applyBorder="1" applyAlignment="1">
      <alignment horizontal="center"/>
    </xf>
    <xf numFmtId="164" fontId="1" fillId="2" borderId="1" xfId="1" applyNumberFormat="1" applyFont="1" applyFill="1" applyBorder="1" applyAlignment="1">
      <alignment horizontal="center"/>
    </xf>
    <xf numFmtId="0" fontId="1" fillId="0" borderId="1" xfId="0" applyFont="1" applyBorder="1"/>
    <xf numFmtId="14" fontId="1" fillId="0" borderId="1" xfId="0" applyNumberFormat="1" applyFont="1" applyBorder="1" applyAlignment="1">
      <alignment horizontal="center"/>
    </xf>
    <xf numFmtId="0" fontId="1" fillId="0" borderId="1" xfId="0" applyFont="1" applyBorder="1" applyAlignment="1">
      <alignment horizontal="left"/>
    </xf>
    <xf numFmtId="0" fontId="1" fillId="0" borderId="1" xfId="0" applyFont="1" applyBorder="1" applyAlignment="1">
      <alignment horizontal="center"/>
    </xf>
    <xf numFmtId="0" fontId="2" fillId="0" borderId="1" xfId="0" applyFont="1" applyBorder="1" applyAlignment="1">
      <alignment horizontal="left"/>
    </xf>
    <xf numFmtId="0" fontId="2" fillId="2" borderId="1" xfId="0" applyFont="1" applyFill="1" applyBorder="1" applyAlignment="1">
      <alignment horizontal="left"/>
    </xf>
    <xf numFmtId="0" fontId="0" fillId="6" borderId="0" xfId="0" applyFill="1"/>
    <xf numFmtId="0" fontId="0" fillId="7" borderId="0" xfId="0" applyFill="1"/>
    <xf numFmtId="0" fontId="1" fillId="7" borderId="0" xfId="0" applyFont="1" applyFill="1"/>
    <xf numFmtId="0" fontId="0" fillId="9" borderId="0" xfId="0" applyFill="1"/>
    <xf numFmtId="0" fontId="0" fillId="9" borderId="5" xfId="0" applyFill="1" applyBorder="1"/>
    <xf numFmtId="0" fontId="0" fillId="10" borderId="0" xfId="0" applyFill="1"/>
    <xf numFmtId="0" fontId="0" fillId="9" borderId="6" xfId="0" applyFill="1" applyBorder="1"/>
    <xf numFmtId="0" fontId="0" fillId="10" borderId="7" xfId="0" applyFill="1" applyBorder="1"/>
    <xf numFmtId="0" fontId="0" fillId="10" borderId="8" xfId="0" applyFill="1" applyBorder="1"/>
    <xf numFmtId="0" fontId="0" fillId="9" borderId="8" xfId="0" applyFill="1" applyBorder="1"/>
    <xf numFmtId="0" fontId="0" fillId="10" borderId="10" xfId="0" applyFill="1" applyBorder="1"/>
    <xf numFmtId="0" fontId="0" fillId="9" borderId="11" xfId="0" applyFill="1" applyBorder="1"/>
    <xf numFmtId="0" fontId="0" fillId="10" borderId="12" xfId="0" applyFill="1" applyBorder="1"/>
    <xf numFmtId="0" fontId="0" fillId="10" borderId="13" xfId="0" applyFill="1" applyBorder="1"/>
    <xf numFmtId="0" fontId="0" fillId="9" borderId="13" xfId="0" applyFill="1" applyBorder="1"/>
    <xf numFmtId="0" fontId="0" fillId="9" borderId="14" xfId="0" applyFill="1" applyBorder="1"/>
    <xf numFmtId="0" fontId="9" fillId="10" borderId="8" xfId="0" applyFont="1" applyFill="1" applyBorder="1"/>
    <xf numFmtId="0" fontId="11" fillId="10" borderId="8" xfId="0" applyFont="1" applyFill="1" applyBorder="1"/>
    <xf numFmtId="0" fontId="12" fillId="9" borderId="0" xfId="0" applyFont="1" applyFill="1"/>
    <xf numFmtId="0" fontId="13" fillId="9" borderId="0" xfId="0" applyFont="1" applyFill="1"/>
    <xf numFmtId="0" fontId="14" fillId="9" borderId="0" xfId="0" applyFont="1" applyFill="1"/>
    <xf numFmtId="0" fontId="15" fillId="9" borderId="0" xfId="0" applyFont="1" applyFill="1"/>
    <xf numFmtId="0" fontId="16" fillId="9" borderId="0" xfId="0" applyFont="1" applyFill="1"/>
    <xf numFmtId="0" fontId="17" fillId="9" borderId="0" xfId="0" applyFont="1" applyFill="1"/>
    <xf numFmtId="0" fontId="18" fillId="9" borderId="0" xfId="0" applyFont="1" applyFill="1"/>
    <xf numFmtId="0" fontId="20" fillId="10" borderId="8" xfId="0" applyFont="1" applyFill="1" applyBorder="1"/>
    <xf numFmtId="0" fontId="19" fillId="10" borderId="8" xfId="0" applyFont="1" applyFill="1" applyBorder="1"/>
    <xf numFmtId="0" fontId="20" fillId="9" borderId="5" xfId="0" applyFont="1" applyFill="1" applyBorder="1"/>
    <xf numFmtId="0" fontId="21" fillId="9" borderId="5" xfId="0" applyFont="1" applyFill="1" applyBorder="1"/>
    <xf numFmtId="0" fontId="20" fillId="9" borderId="0" xfId="0" applyFont="1" applyFill="1"/>
    <xf numFmtId="0" fontId="22" fillId="9" borderId="0" xfId="0" applyFont="1" applyFill="1"/>
    <xf numFmtId="0" fontId="23" fillId="9" borderId="0" xfId="0" applyFont="1" applyFill="1"/>
    <xf numFmtId="0" fontId="24" fillId="9" borderId="0" xfId="0" applyFont="1" applyFill="1"/>
    <xf numFmtId="0" fontId="15" fillId="9" borderId="0" xfId="0" applyFont="1" applyFill="1" applyAlignment="1">
      <alignment horizontal="left" indent="5"/>
    </xf>
    <xf numFmtId="0" fontId="0" fillId="9" borderId="0" xfId="0" applyFill="1" applyAlignment="1">
      <alignment horizontal="left" indent="4"/>
    </xf>
    <xf numFmtId="0" fontId="12" fillId="9" borderId="0" xfId="0" applyFont="1" applyFill="1" applyAlignment="1">
      <alignment horizontal="left" indent="4"/>
    </xf>
    <xf numFmtId="0" fontId="25" fillId="9" borderId="0" xfId="0" applyFont="1" applyFill="1"/>
    <xf numFmtId="0" fontId="0" fillId="4" borderId="0" xfId="0" applyFill="1"/>
    <xf numFmtId="0" fontId="0" fillId="4" borderId="11" xfId="0" applyFill="1" applyBorder="1"/>
    <xf numFmtId="0" fontId="10" fillId="10" borderId="8" xfId="0" applyFont="1" applyFill="1" applyBorder="1"/>
    <xf numFmtId="0" fontId="0" fillId="4" borderId="10" xfId="0" applyFill="1" applyBorder="1"/>
    <xf numFmtId="0" fontId="5" fillId="9" borderId="16" xfId="0" applyFont="1" applyFill="1" applyBorder="1" applyAlignment="1">
      <alignment horizontal="left"/>
    </xf>
    <xf numFmtId="0" fontId="24" fillId="9" borderId="17" xfId="0" applyFont="1" applyFill="1" applyBorder="1" applyAlignment="1">
      <alignment horizontal="left"/>
    </xf>
    <xf numFmtId="0" fontId="0" fillId="11" borderId="12" xfId="0" applyFill="1" applyBorder="1"/>
    <xf numFmtId="0" fontId="0" fillId="11" borderId="7" xfId="0" applyFill="1" applyBorder="1"/>
    <xf numFmtId="0" fontId="0" fillId="11" borderId="8" xfId="0" applyFill="1" applyBorder="1"/>
    <xf numFmtId="0" fontId="0" fillId="11" borderId="9" xfId="0" applyFill="1" applyBorder="1"/>
    <xf numFmtId="0" fontId="1" fillId="4" borderId="0" xfId="0" applyFont="1" applyFill="1"/>
    <xf numFmtId="0" fontId="0" fillId="4" borderId="25" xfId="0" applyFill="1" applyBorder="1"/>
    <xf numFmtId="0" fontId="0" fillId="4" borderId="26" xfId="0" applyFill="1" applyBorder="1"/>
    <xf numFmtId="0" fontId="24" fillId="4" borderId="15" xfId="0" applyFont="1" applyFill="1" applyBorder="1"/>
    <xf numFmtId="0" fontId="0" fillId="5" borderId="0" xfId="0" applyFill="1" applyAlignment="1">
      <alignment horizontal="left" indent="74"/>
    </xf>
    <xf numFmtId="0" fontId="0" fillId="5" borderId="0" xfId="0" applyFill="1"/>
    <xf numFmtId="0" fontId="24" fillId="5" borderId="1" xfId="0" applyFont="1" applyFill="1" applyBorder="1"/>
    <xf numFmtId="0" fontId="5" fillId="5" borderId="27" xfId="0" applyFont="1" applyFill="1" applyBorder="1" applyAlignment="1">
      <alignment horizontal="left"/>
    </xf>
    <xf numFmtId="0" fontId="24" fillId="4" borderId="1" xfId="0" applyFont="1" applyFill="1" applyBorder="1"/>
    <xf numFmtId="0" fontId="5" fillId="4" borderId="1" xfId="0" applyFont="1" applyFill="1" applyBorder="1" applyAlignment="1">
      <alignment horizontal="left"/>
    </xf>
    <xf numFmtId="0" fontId="0" fillId="4" borderId="0" xfId="0" applyFill="1" applyAlignment="1">
      <alignment horizontal="right"/>
    </xf>
    <xf numFmtId="0" fontId="5" fillId="3" borderId="0" xfId="0" applyFont="1" applyFill="1"/>
    <xf numFmtId="0" fontId="8" fillId="4" borderId="0" xfId="0" applyFont="1" applyFill="1"/>
    <xf numFmtId="0" fontId="31" fillId="4" borderId="1" xfId="0" applyFont="1" applyFill="1" applyBorder="1" applyAlignment="1">
      <alignment horizontal="left"/>
    </xf>
    <xf numFmtId="164" fontId="31" fillId="4" borderId="1" xfId="0" applyNumberFormat="1" applyFont="1" applyFill="1" applyBorder="1"/>
    <xf numFmtId="0" fontId="24" fillId="4" borderId="1" xfId="0" applyFont="1" applyFill="1" applyBorder="1" applyAlignment="1">
      <alignment horizontal="left"/>
    </xf>
    <xf numFmtId="164" fontId="24" fillId="4" borderId="1" xfId="0" applyNumberFormat="1" applyFont="1" applyFill="1" applyBorder="1"/>
    <xf numFmtId="0" fontId="24" fillId="4" borderId="1" xfId="0" applyFont="1" applyFill="1" applyBorder="1" applyAlignment="1">
      <alignment horizontal="right"/>
    </xf>
    <xf numFmtId="0" fontId="32" fillId="9" borderId="0" xfId="0" applyFont="1" applyFill="1"/>
    <xf numFmtId="0" fontId="33" fillId="9" borderId="0" xfId="0" applyFont="1" applyFill="1"/>
    <xf numFmtId="0" fontId="34" fillId="4" borderId="0" xfId="0" applyFont="1" applyFill="1"/>
    <xf numFmtId="0" fontId="35" fillId="9" borderId="0" xfId="0" applyFont="1" applyFill="1"/>
    <xf numFmtId="0" fontId="36" fillId="4" borderId="0" xfId="0" applyFont="1" applyFill="1"/>
    <xf numFmtId="0" fontId="36" fillId="9" borderId="0" xfId="0" applyFont="1" applyFill="1"/>
    <xf numFmtId="0" fontId="37" fillId="9" borderId="0" xfId="0" applyFont="1" applyFill="1" applyAlignment="1">
      <alignment horizontal="left" indent="4"/>
    </xf>
    <xf numFmtId="0" fontId="19" fillId="9" borderId="0" xfId="0" applyFont="1" applyFill="1"/>
    <xf numFmtId="0" fontId="38" fillId="9" borderId="0" xfId="0" applyFont="1" applyFill="1"/>
    <xf numFmtId="0" fontId="5" fillId="13" borderId="1" xfId="0" applyFont="1" applyFill="1" applyBorder="1" applyAlignment="1">
      <alignment horizontal="left"/>
    </xf>
    <xf numFmtId="10" fontId="5" fillId="13" borderId="19" xfId="0" applyNumberFormat="1" applyFont="1" applyFill="1" applyBorder="1" applyAlignment="1">
      <alignment horizontal="right"/>
    </xf>
    <xf numFmtId="0" fontId="5" fillId="8" borderId="17" xfId="0" applyFont="1" applyFill="1" applyBorder="1" applyAlignment="1">
      <alignment horizontal="left"/>
    </xf>
    <xf numFmtId="0" fontId="5" fillId="8" borderId="28" xfId="0" applyFont="1" applyFill="1" applyBorder="1" applyAlignment="1">
      <alignment horizontal="left"/>
    </xf>
    <xf numFmtId="10" fontId="5" fillId="4" borderId="29" xfId="0" applyNumberFormat="1" applyFont="1" applyFill="1" applyBorder="1"/>
    <xf numFmtId="0" fontId="5" fillId="13" borderId="19" xfId="0" applyFont="1" applyFill="1" applyBorder="1" applyAlignment="1">
      <alignment horizontal="left"/>
    </xf>
    <xf numFmtId="0" fontId="5" fillId="4" borderId="18" xfId="0" applyFont="1" applyFill="1" applyBorder="1" applyAlignment="1">
      <alignment horizontal="left"/>
    </xf>
    <xf numFmtId="10" fontId="5" fillId="4" borderId="1" xfId="0" applyNumberFormat="1" applyFont="1" applyFill="1" applyBorder="1"/>
    <xf numFmtId="10" fontId="24" fillId="4" borderId="18" xfId="0" applyNumberFormat="1" applyFont="1" applyFill="1" applyBorder="1"/>
    <xf numFmtId="10" fontId="24" fillId="4" borderId="1" xfId="0" applyNumberFormat="1" applyFont="1" applyFill="1" applyBorder="1"/>
    <xf numFmtId="0" fontId="40" fillId="4" borderId="15" xfId="0" applyFont="1" applyFill="1" applyBorder="1"/>
    <xf numFmtId="0" fontId="39" fillId="9" borderId="0" xfId="0" applyFont="1" applyFill="1"/>
    <xf numFmtId="0" fontId="5" fillId="4" borderId="29" xfId="0" applyFont="1" applyFill="1" applyBorder="1"/>
    <xf numFmtId="0" fontId="5" fillId="8" borderId="18" xfId="0" applyFont="1" applyFill="1" applyBorder="1" applyAlignment="1">
      <alignment horizontal="left"/>
    </xf>
    <xf numFmtId="0" fontId="5" fillId="4" borderId="30" xfId="0" applyFont="1" applyFill="1" applyBorder="1"/>
    <xf numFmtId="0" fontId="40" fillId="8" borderId="15" xfId="0" applyFont="1" applyFill="1" applyBorder="1"/>
    <xf numFmtId="0" fontId="24" fillId="8" borderId="19" xfId="0" applyFont="1" applyFill="1" applyBorder="1" applyAlignment="1">
      <alignment horizontal="right"/>
    </xf>
    <xf numFmtId="0" fontId="0" fillId="4" borderId="1" xfId="0" applyFill="1" applyBorder="1"/>
    <xf numFmtId="0" fontId="24" fillId="12" borderId="1" xfId="0" applyFont="1" applyFill="1" applyBorder="1"/>
    <xf numFmtId="0" fontId="5" fillId="5" borderId="1" xfId="0" applyFont="1" applyFill="1" applyBorder="1"/>
    <xf numFmtId="0" fontId="24" fillId="5" borderId="27" xfId="0" applyFont="1" applyFill="1" applyBorder="1"/>
    <xf numFmtId="0" fontId="5" fillId="4" borderId="1" xfId="0" applyFont="1" applyFill="1" applyBorder="1" applyAlignment="1">
      <alignment horizontal="right"/>
    </xf>
    <xf numFmtId="0" fontId="5" fillId="13" borderId="1" xfId="0" applyFont="1" applyFill="1" applyBorder="1" applyAlignment="1">
      <alignment horizontal="right"/>
    </xf>
    <xf numFmtId="0" fontId="7" fillId="10" borderId="21" xfId="0" applyFont="1" applyFill="1" applyBorder="1" applyAlignment="1">
      <alignment horizontal="center"/>
    </xf>
    <xf numFmtId="0" fontId="7" fillId="10" borderId="8" xfId="0" applyFont="1" applyFill="1" applyBorder="1" applyAlignment="1">
      <alignment horizontal="center"/>
    </xf>
    <xf numFmtId="0" fontId="7" fillId="10" borderId="22" xfId="0" applyFont="1" applyFill="1" applyBorder="1" applyAlignment="1">
      <alignment horizontal="center"/>
    </xf>
    <xf numFmtId="0" fontId="30" fillId="5" borderId="23" xfId="0" applyFont="1" applyFill="1" applyBorder="1" applyAlignment="1">
      <alignment horizontal="center"/>
    </xf>
    <xf numFmtId="0" fontId="7" fillId="5" borderId="20" xfId="0" applyFont="1" applyFill="1" applyBorder="1" applyAlignment="1">
      <alignment horizontal="center"/>
    </xf>
    <xf numFmtId="0" fontId="7" fillId="5" borderId="24" xfId="0" applyFont="1" applyFill="1" applyBorder="1" applyAlignment="1">
      <alignment horizontal="center"/>
    </xf>
    <xf numFmtId="0" fontId="6" fillId="5" borderId="2" xfId="0" applyFont="1" applyFill="1" applyBorder="1" applyAlignment="1">
      <alignment horizont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7" fillId="10" borderId="23" xfId="0" applyFont="1" applyFill="1" applyBorder="1" applyAlignment="1">
      <alignment horizontal="center"/>
    </xf>
    <xf numFmtId="0" fontId="7" fillId="10" borderId="20" xfId="0" applyFont="1" applyFill="1" applyBorder="1" applyAlignment="1">
      <alignment horizontal="center"/>
    </xf>
    <xf numFmtId="0" fontId="7" fillId="10" borderId="24" xfId="0" applyFont="1" applyFill="1" applyBorder="1" applyAlignment="1">
      <alignment horizontal="center"/>
    </xf>
    <xf numFmtId="0" fontId="7" fillId="10" borderId="2" xfId="0" applyFont="1" applyFill="1" applyBorder="1" applyAlignment="1">
      <alignment horizontal="center"/>
    </xf>
    <xf numFmtId="0" fontId="7" fillId="10" borderId="3" xfId="0" applyFont="1" applyFill="1" applyBorder="1" applyAlignment="1">
      <alignment horizontal="center"/>
    </xf>
    <xf numFmtId="0" fontId="7" fillId="10" borderId="4" xfId="0" applyFont="1" applyFill="1" applyBorder="1" applyAlignment="1">
      <alignment horizontal="center"/>
    </xf>
    <xf numFmtId="0" fontId="7" fillId="4" borderId="2" xfId="0" applyFont="1" applyFill="1" applyBorder="1" applyAlignment="1">
      <alignment horizontal="center"/>
    </xf>
    <xf numFmtId="0" fontId="7" fillId="4" borderId="3" xfId="0" applyFont="1" applyFill="1" applyBorder="1" applyAlignment="1">
      <alignment horizontal="center"/>
    </xf>
    <xf numFmtId="0" fontId="7" fillId="4" borderId="4" xfId="0" applyFont="1" applyFill="1" applyBorder="1" applyAlignment="1">
      <alignment horizontal="center"/>
    </xf>
    <xf numFmtId="0" fontId="5" fillId="8" borderId="18" xfId="0" applyFont="1" applyFill="1" applyBorder="1" applyAlignment="1">
      <alignment horizontal="right"/>
    </xf>
  </cellXfs>
  <cellStyles count="2">
    <cellStyle name="Normal" xfId="0" builtinId="0"/>
    <cellStyle name="Percent" xfId="1" builtinId="5"/>
  </cellStyles>
  <dxfs count="351">
    <dxf>
      <alignment horizontal="right"/>
    </dxf>
    <dxf>
      <fill>
        <patternFill>
          <bgColor theme="2"/>
        </patternFill>
      </fill>
      <alignment horizontal="left"/>
    </dxf>
    <dxf>
      <fill>
        <patternFill>
          <bgColor theme="2"/>
        </patternFill>
      </fill>
      <alignment horizontal="left"/>
    </dxf>
    <dxf>
      <fill>
        <patternFill>
          <fgColor indexed="64"/>
          <bgColor theme="1"/>
        </patternFill>
      </fill>
    </dxf>
    <dxf>
      <font>
        <color rgb="FFFFC000"/>
      </font>
    </dxf>
    <dxf>
      <font>
        <color rgb="FFFFC000"/>
      </font>
    </dxf>
    <dxf>
      <font>
        <color rgb="FFFFC000"/>
      </font>
    </dxf>
    <dxf>
      <font>
        <color rgb="FFFFC00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2"/>
      </font>
    </dxf>
    <dxf>
      <font>
        <color them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C000"/>
      </font>
    </dxf>
    <dxf>
      <font>
        <color rgb="FFFFC000"/>
      </font>
    </dxf>
    <dxf>
      <font>
        <color rgb="FFFFC000"/>
      </font>
    </dxf>
    <dxf>
      <font>
        <color rgb="FFFFC00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ill>
        <patternFill>
          <bgColor theme="1"/>
        </patternFill>
      </fill>
    </dxf>
    <dxf>
      <fill>
        <patternFill>
          <bgColor theme="0" tint="-4.9989318521683403E-2"/>
        </patternFill>
      </fill>
    </dxf>
    <dxf>
      <fill>
        <patternFill>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right"/>
    </dxf>
    <dxf>
      <font>
        <b val="0"/>
        <i val="0"/>
        <strike val="0"/>
        <condense val="0"/>
        <extend val="0"/>
        <outline val="0"/>
        <shadow val="0"/>
        <u val="none"/>
        <vertAlign val="baseline"/>
        <sz val="11"/>
        <color theme="1"/>
        <name val="Aptos Narrow"/>
        <family val="2"/>
        <scheme val="minor"/>
      </font>
      <fill>
        <patternFill>
          <fgColor theme="0" tint="-4.9989318521683403E-2"/>
        </patternFill>
      </fill>
      <alignment horizontal="left"/>
    </dxf>
    <dxf>
      <font>
        <b val="0"/>
        <i val="0"/>
        <strike val="0"/>
        <condense val="0"/>
        <extend val="0"/>
        <outline val="0"/>
        <shadow val="0"/>
        <u val="none"/>
        <vertAlign val="baseline"/>
        <sz val="11"/>
        <color theme="1"/>
        <name val="Aptos Narrow"/>
        <family val="2"/>
        <scheme val="minor"/>
      </font>
      <fill>
        <patternFill>
          <fgColor theme="0" tint="-4.9989318521683403E-2"/>
        </patternFill>
      </fill>
      <alignment horizontal="left"/>
    </dxf>
    <dxf>
      <numFmt numFmtId="14" formatCode="0.00%"/>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FFC000"/>
      </font>
    </dxf>
    <dxf>
      <font>
        <color rgb="FFFFC000"/>
      </font>
    </dxf>
    <dxf>
      <font>
        <color rgb="FFFFC000"/>
      </font>
    </dxf>
    <dxf>
      <font>
        <color rgb="FFFFC00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1"/>
        </patternFill>
      </fill>
    </dxf>
    <dxf>
      <fill>
        <patternFill>
          <fgColor indexed="64"/>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fgColor indexed="64"/>
          <bgColor theme="1"/>
        </patternFill>
      </fill>
    </dxf>
    <dxf>
      <fill>
        <patternFill>
          <fgColor theme="1"/>
        </patternFill>
      </fill>
    </dxf>
    <dxf>
      <fill>
        <patternFill>
          <fgColor indexed="64"/>
          <bgColor theme="1"/>
        </patternFill>
      </fill>
    </dxf>
    <dxf>
      <font>
        <color theme="0"/>
      </font>
      <fill>
        <patternFill>
          <fgColor theme="1"/>
        </patternFill>
      </fill>
    </dxf>
    <dxf>
      <fill>
        <patternFill>
          <fgColor theme="1"/>
        </patternFill>
      </fill>
      <alignment horizontal="general" vertical="bottom" textRotation="0" wrapText="0" indent="0" justifyLastLine="0" shrinkToFit="0" readingOrder="0"/>
    </dxf>
    <dxf>
      <font>
        <color theme="0"/>
      </font>
    </dxf>
    <dxf>
      <font>
        <color theme="0"/>
      </font>
    </dxf>
    <dxf>
      <font>
        <color theme="0"/>
      </font>
    </dxf>
    <dxf>
      <fill>
        <patternFill>
          <bgColor theme="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1" tint="0.499984740745262"/>
        </patternFill>
      </fill>
    </dxf>
    <dxf>
      <fill>
        <patternFill patternType="solid">
          <bgColor theme="1" tint="0.49998474074526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rgb="FFFFC000"/>
      </font>
    </dxf>
    <dxf>
      <font>
        <color rgb="FFFFC000"/>
      </font>
    </dxf>
    <dxf>
      <fill>
        <patternFill>
          <fgColor indexed="64"/>
          <bgColor theme="1"/>
        </patternFill>
      </fill>
    </dxf>
    <dxf>
      <font>
        <b val="0"/>
        <i val="0"/>
        <strike val="0"/>
        <condense val="0"/>
        <extend val="0"/>
        <outline val="0"/>
        <shadow val="0"/>
        <u val="none"/>
        <vertAlign val="baseline"/>
        <sz val="11"/>
        <color theme="1"/>
        <name val="Aptos Narrow"/>
        <family val="2"/>
        <scheme val="minor"/>
      </font>
      <fill>
        <patternFill>
          <fgColor indexed="64"/>
          <bgColor theme="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fgColor indexed="64"/>
          <bgColor theme="1"/>
        </patternFill>
      </fill>
    </dxf>
    <dxf>
      <fill>
        <patternFill>
          <fgColor theme="1"/>
        </patternFill>
      </fill>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fgColor theme="1"/>
        </patternFill>
      </fill>
      <alignment horizontal="general" vertical="bottom" textRotation="0" wrapText="0" indent="0" justifyLastLine="0" shrinkToFit="0" readingOrder="0"/>
    </dxf>
    <dxf>
      <alignment horizontal="right"/>
    </dxf>
    <dxf>
      <alignment horizontal="right"/>
    </dxf>
    <dxf>
      <font>
        <b val="0"/>
        <i val="0"/>
        <strike val="0"/>
        <condense val="0"/>
        <extend val="0"/>
        <outline val="0"/>
        <shadow val="0"/>
        <u val="none"/>
        <vertAlign val="baseline"/>
        <sz val="11"/>
        <color theme="1"/>
        <name val="Aptos Narrow"/>
        <family val="2"/>
        <scheme val="minor"/>
      </font>
      <fill>
        <patternFill>
          <fgColor theme="0" tint="-4.9989318521683403E-2"/>
        </patternFill>
      </fill>
      <alignment horizontal="left"/>
    </dxf>
    <dxf>
      <font>
        <b val="0"/>
        <i val="0"/>
        <strike val="0"/>
        <condense val="0"/>
        <extend val="0"/>
        <outline val="0"/>
        <shadow val="0"/>
        <u val="none"/>
        <vertAlign val="baseline"/>
        <sz val="11"/>
        <color theme="1"/>
        <name val="Aptos Narrow"/>
        <family val="2"/>
        <scheme val="minor"/>
      </font>
      <fill>
        <patternFill>
          <fgColor theme="0" tint="-4.9989318521683403E-2"/>
        </patternFill>
      </fill>
      <alignment horizontal="left"/>
    </dxf>
    <dxf>
      <font>
        <b val="0"/>
        <i val="0"/>
        <strike val="0"/>
        <condense val="0"/>
        <extend val="0"/>
        <outline val="0"/>
        <shadow val="0"/>
        <u val="none"/>
        <vertAlign val="baseline"/>
        <sz val="11"/>
        <color theme="1"/>
        <name val="Aptos Narrow"/>
        <family val="2"/>
        <scheme val="minor"/>
      </font>
      <fill>
        <patternFill>
          <fgColor theme="0" tint="-4.9989318521683403E-2"/>
        </patternFill>
      </fill>
      <alignment horizontal="left"/>
    </dxf>
    <dxf>
      <font>
        <b val="0"/>
        <i val="0"/>
        <strike val="0"/>
        <condense val="0"/>
        <extend val="0"/>
        <outline val="0"/>
        <shadow val="0"/>
        <u val="none"/>
        <vertAlign val="baseline"/>
        <sz val="11"/>
        <color theme="1"/>
        <name val="Aptos Narrow"/>
        <family val="2"/>
        <scheme val="minor"/>
      </font>
      <fill>
        <patternFill>
          <fgColor theme="0" tint="-4.9989318521683403E-2"/>
        </patternFill>
      </fill>
      <alignment horizontal="left"/>
    </dxf>
    <dxf>
      <font>
        <b val="0"/>
        <i val="0"/>
        <strike val="0"/>
        <condense val="0"/>
        <extend val="0"/>
        <outline val="0"/>
        <shadow val="0"/>
        <u val="none"/>
        <vertAlign val="baseline"/>
        <sz val="11"/>
        <color theme="1"/>
        <name val="Aptos Narrow"/>
        <family val="2"/>
        <scheme val="minor"/>
      </font>
      <fill>
        <patternFill>
          <fgColor theme="0" tint="-4.9989318521683403E-2"/>
        </patternFill>
      </fill>
    </dxf>
    <dxf>
      <font>
        <b val="0"/>
        <i val="0"/>
        <strike val="0"/>
        <condense val="0"/>
        <extend val="0"/>
        <outline val="0"/>
        <shadow val="0"/>
        <u val="none"/>
        <vertAlign val="baseline"/>
        <sz val="11"/>
        <color theme="1"/>
        <name val="Aptos Narrow"/>
        <family val="2"/>
        <scheme val="minor"/>
      </font>
      <fill>
        <patternFill>
          <fgColor theme="0" tint="-4.9989318521683403E-2"/>
        </patternFill>
      </fill>
    </dxf>
    <dxf>
      <font>
        <b val="0"/>
        <i val="0"/>
        <strike val="0"/>
        <condense val="0"/>
        <extend val="0"/>
        <outline val="0"/>
        <shadow val="0"/>
        <u val="none"/>
        <vertAlign val="baseline"/>
        <sz val="11"/>
        <color theme="1"/>
        <name val="Aptos Narrow"/>
        <family val="2"/>
        <scheme val="minor"/>
      </font>
      <fill>
        <patternFill>
          <fgColor theme="0" tint="-4.9989318521683403E-2"/>
        </patternFill>
      </fill>
    </dxf>
    <dxf>
      <font>
        <b val="0"/>
        <i val="0"/>
        <strike val="0"/>
        <condense val="0"/>
        <extend val="0"/>
        <outline val="0"/>
        <shadow val="0"/>
        <u val="none"/>
        <vertAlign val="baseline"/>
        <sz val="11"/>
        <color theme="1"/>
        <name val="Aptos Narrow"/>
        <family val="2"/>
        <scheme val="minor"/>
      </font>
      <fill>
        <patternFill>
          <fgColor theme="0" tint="-4.9989318521683403E-2"/>
        </patternFill>
      </fill>
    </dxf>
    <dxf>
      <alignment horizontal="left"/>
    </dxf>
    <dxf>
      <font>
        <b val="0"/>
        <i val="0"/>
        <strike val="0"/>
        <condense val="0"/>
        <extend val="0"/>
        <outline val="0"/>
        <shadow val="0"/>
        <u val="none"/>
        <vertAlign val="baseline"/>
        <sz val="11"/>
        <color theme="1"/>
        <name val="Aptos Narrow"/>
        <family val="2"/>
        <scheme val="minor"/>
      </font>
      <fill>
        <patternFill>
          <fgColor theme="0" tint="-4.9989318521683403E-2"/>
        </patternFill>
      </fill>
      <alignment horizontal="left"/>
    </dxf>
    <dxf>
      <font>
        <color theme="1"/>
      </font>
    </dxf>
    <dxf>
      <font>
        <b val="0"/>
        <i val="0"/>
        <strike val="0"/>
        <condense val="0"/>
        <extend val="0"/>
        <outline val="0"/>
        <shadow val="0"/>
        <u val="none"/>
        <vertAlign val="baseline"/>
        <sz val="11"/>
        <color theme="1"/>
        <name val="Aptos Narrow"/>
        <family val="2"/>
        <scheme val="minor"/>
      </font>
      <fill>
        <patternFill>
          <fgColor theme="0" tint="-4.9989318521683403E-2"/>
        </patternFill>
      </fill>
    </dxf>
    <dxf>
      <border>
        <left/>
        <right/>
        <top/>
        <bottom/>
        <vertical/>
        <horizontal/>
      </border>
    </dxf>
    <dxf>
      <border>
        <left/>
        <right/>
        <top/>
        <bottom/>
        <vertical/>
        <horizontal/>
      </border>
    </dxf>
    <dxf>
      <border>
        <left/>
        <right/>
        <top/>
        <bottom/>
        <vertical/>
        <horizontal/>
      </border>
    </dxf>
    <dxf>
      <font>
        <b val="0"/>
        <i val="0"/>
        <strike val="0"/>
        <condense val="0"/>
        <extend val="0"/>
        <outline val="0"/>
        <shadow val="0"/>
        <u val="none"/>
        <vertAlign val="baseline"/>
        <sz val="11"/>
        <color theme="1"/>
        <name val="Aptos Narrow"/>
        <family val="2"/>
        <scheme val="minor"/>
      </font>
      <fill>
        <patternFill>
          <fgColor theme="0" tint="-4.9989318521683403E-2"/>
        </patternFill>
      </fill>
    </dxf>
    <dxf>
      <font>
        <color theme="1"/>
      </font>
    </dxf>
    <dxf>
      <font>
        <color theme="1"/>
      </font>
    </dxf>
    <dxf>
      <fill>
        <patternFill>
          <bgColor theme="0" tint="-4.9989318521683403E-2"/>
        </patternFill>
      </fill>
    </dxf>
    <dxf>
      <fill>
        <patternFill>
          <bgColor theme="0" tint="-4.9989318521683403E-2"/>
        </patternFill>
      </fill>
    </dxf>
    <dxf>
      <border>
        <left/>
        <right/>
        <top/>
        <bottom/>
      </border>
    </dxf>
    <dxf>
      <font>
        <u val="none"/>
      </font>
    </dxf>
    <dxf>
      <fill>
        <patternFill>
          <bgColor theme="0" tint="-4.9989318521683403E-2"/>
        </patternFill>
      </fill>
    </dxf>
    <dxf>
      <fill>
        <patternFill>
          <bgColor theme="0" tint="-4.9989318521683403E-2"/>
        </patternFill>
      </fill>
    </dxf>
    <dxf>
      <font>
        <color theme="1"/>
      </font>
    </dxf>
    <dxf>
      <fill>
        <patternFill>
          <bgColor theme="0" tint="-0.14999847407452621"/>
        </patternFill>
      </fill>
    </dxf>
    <dxf>
      <fill>
        <patternFill>
          <bgColor theme="1"/>
        </patternFill>
      </fill>
    </dxf>
    <dxf>
      <fill>
        <patternFill>
          <bgColor theme="0" tint="-4.9989318521683403E-2"/>
        </patternFill>
      </fill>
    </dxf>
    <dxf>
      <fill>
        <patternFill>
          <bgColor theme="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4" formatCode="0.00%"/>
    </dxf>
    <dxf>
      <border>
        <bottom style="thin">
          <color rgb="FFFFC000"/>
        </bottom>
      </border>
    </dxf>
    <dxf>
      <border>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font>
        <color rgb="FFFFC000"/>
      </font>
    </dxf>
    <dxf>
      <font>
        <color rgb="FFFFC000"/>
      </font>
    </dxf>
    <dxf>
      <font>
        <color rgb="FFFFC000"/>
      </font>
    </dxf>
    <dxf>
      <font>
        <color rgb="FFFFC00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ill>
        <patternFill>
          <fgColor indexed="64"/>
          <bgColor theme="1"/>
        </patternFill>
      </fill>
    </dxf>
    <dxf>
      <fill>
        <patternFill>
          <fgColor indexed="64"/>
          <bgColor theme="1"/>
        </patternFill>
      </fill>
    </dxf>
    <dxf>
      <fill>
        <patternFill>
          <fgColor indexed="64"/>
          <bgColor theme="1"/>
        </patternFill>
      </fill>
    </dxf>
    <dxf>
      <numFmt numFmtId="0" formatCode="General"/>
      <fill>
        <patternFill>
          <fgColor indexed="64"/>
          <bgColor theme="1"/>
        </patternFill>
      </fill>
    </dxf>
    <dxf>
      <font>
        <color theme="0"/>
      </font>
      <fill>
        <patternFill>
          <fgColor theme="1"/>
        </patternFill>
      </fill>
    </dxf>
    <dxf>
      <font>
        <color theme="0"/>
      </font>
      <fill>
        <patternFill>
          <fgColor theme="1"/>
        </patternFill>
      </fill>
    </dxf>
    <dxf>
      <numFmt numFmtId="14" formatCode="0.00%"/>
    </dxf>
    <dxf>
      <alignment horizontal="right"/>
    </dxf>
    <dxf>
      <font>
        <color theme="0"/>
      </font>
      <fill>
        <patternFill>
          <fgColor theme="1"/>
        </patternFill>
      </fill>
    </dxf>
    <dxf>
      <font>
        <b val="0"/>
        <i val="0"/>
        <strike val="0"/>
        <condense val="0"/>
        <extend val="0"/>
        <outline val="0"/>
        <shadow val="0"/>
        <u val="none"/>
        <vertAlign val="baseline"/>
        <sz val="11"/>
        <color theme="1"/>
        <name val="Aptos Narrow"/>
        <family val="2"/>
        <scheme val="minor"/>
      </font>
      <fill>
        <patternFill>
          <fgColor theme="0" tint="-4.9989318521683403E-2"/>
        </patternFill>
      </fill>
      <alignment horizontal="left"/>
    </dxf>
    <dxf>
      <font>
        <color theme="0"/>
      </font>
      <fill>
        <patternFill>
          <fgColor theme="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fgColor theme="0" tint="-4.9989318521683403E-2"/>
        </patternFill>
      </fill>
      <alignment horizontal="lef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thin">
          <color rgb="FFFFCA21"/>
        </right>
      </border>
    </dxf>
    <dxf>
      <border>
        <right style="thin">
          <color rgb="FFFFCA21"/>
        </right>
      </border>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theme="0"/>
      </font>
    </dxf>
    <dxf>
      <font>
        <color theme="0"/>
      </font>
    </dxf>
    <dxf>
      <fill>
        <patternFill>
          <bgColor theme="1" tint="4.9989318521683403E-2"/>
        </patternFill>
      </fill>
    </dxf>
    <dxf>
      <font>
        <color rgb="FFFFC000"/>
      </font>
      <fill>
        <patternFill>
          <fgColor theme="1"/>
        </patternFill>
      </fill>
    </dxf>
    <dxf>
      <font>
        <color rgb="FFFFC000"/>
      </font>
    </dxf>
    <dxf>
      <font>
        <color rgb="FFFFC000"/>
      </font>
    </dxf>
    <dxf>
      <font>
        <color rgb="FFFFC000"/>
      </font>
    </dxf>
    <dxf>
      <fill>
        <patternFill>
          <fgColor indexed="64"/>
          <bgColor theme="1"/>
        </patternFill>
      </fill>
    </dxf>
    <dxf>
      <fill>
        <patternFill>
          <fgColor theme="1" tint="4.9989318521683403E-2"/>
        </patternFill>
      </fill>
      <alignment horizontal="general" vertical="bottom" textRotation="0" wrapText="0" indent="0" justifyLastLine="0" shrinkToFit="0" readingOrder="0"/>
    </dxf>
    <dxf>
      <fill>
        <patternFill>
          <bgColor theme="1" tint="4.9989318521683403E-2"/>
        </patternFill>
      </fill>
    </dxf>
    <dxf>
      <fill>
        <patternFill>
          <bgColor theme="1" tint="4.9989318521683403E-2"/>
        </patternFill>
      </fill>
    </dxf>
    <dxf>
      <fill>
        <patternFill>
          <bgColor theme="2"/>
        </patternFill>
      </fill>
    </dxf>
    <dxf>
      <fill>
        <patternFill>
          <bgColor theme="1"/>
        </patternFill>
      </fill>
    </dxf>
    <dxf>
      <fill>
        <patternFill>
          <bgColor theme="1"/>
        </patternFill>
      </fill>
    </dxf>
    <dxf>
      <fill>
        <patternFill>
          <bgColor theme="1"/>
        </patternFill>
      </fill>
    </dxf>
    <dxf>
      <font>
        <color theme="1"/>
      </font>
    </dxf>
    <dxf>
      <fill>
        <patternFill>
          <bgColor theme="2"/>
        </patternFill>
      </fill>
    </dxf>
    <dxf>
      <fill>
        <patternFill>
          <bgColor theme="2"/>
        </patternFill>
      </fill>
    </dxf>
    <dxf>
      <font>
        <color theme="1"/>
      </font>
    </dxf>
    <dxf>
      <font>
        <color theme="1"/>
      </font>
    </dxf>
    <dxf>
      <font>
        <color theme="1"/>
      </font>
    </dxf>
    <dxf>
      <font>
        <color theme="1"/>
      </font>
    </dxf>
    <dxf>
      <font>
        <color theme="1"/>
      </font>
    </dxf>
    <dxf>
      <fill>
        <patternFill>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fgColor theme="1"/>
        </patternFill>
      </fill>
      <alignment horizontal="general" vertical="bottom" textRotation="0" wrapText="0" indent="0" justifyLastLine="0" shrinkToFit="0" readingOrder="0"/>
    </dxf>
    <dxf>
      <alignment horizontal="right"/>
    </dxf>
    <dxf>
      <alignment horizontal="right"/>
    </dxf>
    <dxf>
      <fill>
        <patternFill>
          <fgColor theme="2"/>
          <bgColor theme="1"/>
        </patternFill>
      </fill>
      <alignment horizontal="left"/>
    </dxf>
    <dxf>
      <fill>
        <patternFill>
          <fgColor indexed="64"/>
          <bgColor theme="1"/>
        </patternFill>
      </fill>
      <alignment horizontal="general" vertical="bottom" textRotation="0" wrapText="0" indent="0" justifyLastLine="0" shrinkToFit="0" readingOrder="0"/>
    </dxf>
    <dxf>
      <font>
        <color theme="0"/>
      </font>
    </dxf>
    <dxf>
      <fill>
        <patternFill>
          <bgColor theme="1"/>
        </patternFill>
      </fill>
    </dxf>
    <dxf>
      <font>
        <color theme="1"/>
      </font>
    </dxf>
    <dxf>
      <alignment horizontal="right"/>
    </dxf>
    <dxf>
      <fill>
        <patternFill>
          <bgColor theme="2"/>
        </patternFill>
      </fill>
      <alignment horizontal="left"/>
    </dxf>
    <dxf>
      <border>
        <right style="thin">
          <color rgb="FFFFC000"/>
        </right>
      </border>
    </dxf>
    <dxf>
      <border>
        <bottom/>
      </border>
    </dxf>
    <dxf>
      <fill>
        <patternFill>
          <bgColor rgb="FF080B10"/>
        </patternFill>
      </fill>
    </dxf>
    <dxf>
      <fill>
        <patternFill>
          <bgColor rgb="FF080B10"/>
        </patternFill>
      </fill>
    </dxf>
    <dxf>
      <fill>
        <patternFill>
          <fgColor theme="2"/>
          <bgColor theme="1"/>
        </patternFill>
      </fill>
    </dxf>
    <dxf>
      <border>
        <top style="thin">
          <color rgb="FFFFC000"/>
        </top>
      </border>
    </dxf>
    <dxf>
      <border>
        <bottom style="thin">
          <color rgb="FFFFC000"/>
        </bottom>
      </border>
    </dxf>
    <dxf>
      <border>
        <top style="thin">
          <color rgb="FFFFC000"/>
        </top>
      </border>
    </dxf>
    <dxf>
      <border>
        <bottom style="thin">
          <color rgb="FFFFC000"/>
        </bottom>
      </border>
    </dxf>
    <dxf>
      <border>
        <bottom style="thin">
          <color rgb="FFFFC000"/>
        </bottom>
      </border>
    </dxf>
    <dxf>
      <font>
        <color rgb="FFFFC000"/>
      </font>
    </dxf>
    <dxf>
      <font>
        <color rgb="FFFFC000"/>
      </font>
    </dxf>
    <dxf>
      <font>
        <color rgb="FFFFC000"/>
      </font>
    </dxf>
    <dxf>
      <border>
        <left style="thin">
          <color rgb="FFFFC000"/>
        </left>
      </border>
    </dxf>
    <dxf>
      <border>
        <left style="thin">
          <color rgb="FFFFC000"/>
        </left>
      </border>
    </dxf>
    <dxf>
      <border>
        <left style="thin">
          <color rgb="FFFFC000"/>
        </left>
      </border>
    </dxf>
    <dxf>
      <border>
        <left style="thin">
          <color rgb="FFFFC000"/>
        </left>
      </border>
    </dxf>
    <dxf>
      <border>
        <bottom style="thin">
          <color rgb="FFFFC000"/>
        </bottom>
      </border>
    </dxf>
    <dxf>
      <border>
        <left style="thin">
          <color rgb="FFFFC000"/>
        </left>
      </border>
    </dxf>
    <dxf>
      <border>
        <left style="thin">
          <color rgb="FFFFC000"/>
        </left>
      </border>
    </dxf>
    <dxf>
      <border>
        <left style="thin">
          <color rgb="FFFFC000"/>
        </left>
      </border>
    </dxf>
    <dxf>
      <border>
        <left style="thin">
          <color rgb="FFFFC000"/>
        </left>
      </border>
    </dxf>
    <dxf>
      <border>
        <left style="thin">
          <color rgb="FFFFC000"/>
        </left>
      </border>
    </dxf>
    <dxf>
      <border>
        <top style="thin">
          <color rgb="FFFFC000"/>
        </top>
      </border>
    </dxf>
    <dxf>
      <border>
        <top style="thin">
          <color rgb="FFFFC000"/>
        </top>
      </border>
    </dxf>
    <dxf>
      <border>
        <top style="thin">
          <color rgb="FFFFC000"/>
        </top>
      </border>
    </dxf>
    <dxf>
      <border>
        <bottom style="thin">
          <color rgb="FFFFC000"/>
        </bottom>
      </border>
    </dxf>
    <dxf>
      <border>
        <bottom style="thin">
          <color rgb="FFFFC000"/>
        </bottom>
      </border>
    </dxf>
    <dxf>
      <border>
        <right style="thin">
          <color rgb="FFFFC000"/>
        </right>
      </border>
    </dxf>
    <dxf>
      <border>
        <right style="thin">
          <color rgb="FFFFC000"/>
        </right>
      </border>
    </dxf>
    <dxf>
      <border>
        <top style="thin">
          <color rgb="FFFFC000"/>
        </top>
        <bottom style="thin">
          <color rgb="FFFFC000"/>
        </bottom>
      </border>
    </dxf>
    <dxf>
      <border>
        <right style="thin">
          <color rgb="FFFFC000"/>
        </right>
      </border>
    </dxf>
    <dxf>
      <border>
        <right style="thin">
          <color rgb="FFFFC000"/>
        </right>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ont>
        <color theme="0"/>
      </font>
    </dxf>
    <dxf>
      <font>
        <color theme="0"/>
      </font>
    </dxf>
    <dxf>
      <font>
        <name val="Bebas Neue"/>
        <scheme val="none"/>
      </font>
    </dxf>
    <dxf>
      <font>
        <name val="Bebas Neue"/>
        <scheme val="none"/>
      </font>
      <fill>
        <patternFill>
          <bgColor indexed="64"/>
        </patternFill>
      </fill>
      <alignment horizontal="general" vertical="bottom" textRotation="0" wrapText="0" indent="0" justifyLastLine="0" shrinkToFit="0" readingOrder="0"/>
    </dxf>
    <dxf>
      <font>
        <name val="Bebas Neue"/>
        <scheme val="none"/>
      </font>
    </dxf>
    <dxf>
      <font>
        <color rgb="FFFFC000"/>
      </font>
    </dxf>
    <dxf>
      <font>
        <color rgb="FFFFC000"/>
      </font>
    </dxf>
    <dxf>
      <font>
        <color rgb="FFFFC000"/>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bgColor theme="1"/>
        </patternFill>
      </fill>
    </dxf>
    <dxf>
      <fill>
        <patternFill>
          <fgColor theme="2"/>
          <bgColor theme="2"/>
        </patternFill>
      </fill>
    </dxf>
    <dxf>
      <fill>
        <patternFill>
          <fgColor theme="2"/>
          <bgColor theme="2"/>
        </patternFill>
      </fill>
      <alignment horizontal="left"/>
    </dxf>
    <dxf>
      <fill>
        <patternFill>
          <fgColor theme="2"/>
          <bgColor theme="2"/>
        </patternFill>
      </fill>
      <alignment horizontal="left"/>
    </dxf>
    <dxf>
      <fill>
        <patternFill>
          <fgColor indexed="64"/>
          <bgColor theme="1"/>
        </patternFill>
      </fill>
    </dxf>
    <dxf>
      <alignment horizontal="general"/>
    </dxf>
    <dxf>
      <alignment horizontal="right"/>
    </dxf>
    <dxf>
      <fill>
        <patternFill>
          <fgColor theme="2"/>
        </patternFill>
      </fill>
      <alignment horizontal="left"/>
    </dxf>
    <dxf>
      <fill>
        <patternFill>
          <bgColor theme="1"/>
        </patternFill>
      </fill>
    </dxf>
    <dxf>
      <fill>
        <patternFill>
          <bgColor theme="1"/>
        </patternFill>
      </fill>
    </dxf>
    <dxf>
      <border>
        <bottom style="thin">
          <color theme="0"/>
        </bottom>
      </border>
    </dxf>
    <dxf>
      <fill>
        <patternFill>
          <bgColor theme="1"/>
        </patternFill>
      </fill>
    </dxf>
    <dxf>
      <fill>
        <patternFill>
          <bgColor theme="1"/>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C000"/>
      </font>
    </dxf>
    <dxf>
      <font>
        <color rgb="FFFFC000"/>
        <name val="Bebas Neue"/>
        <family val="2"/>
        <scheme val="none"/>
      </font>
      <fill>
        <patternFill>
          <bgColor rgb="FFFFC000"/>
        </patternFill>
      </fill>
    </dxf>
    <dxf>
      <font>
        <color rgb="FFFFC000"/>
      </font>
    </dxf>
  </dxfs>
  <tableStyles count="3" defaultTableStyle="TableStyleMedium2" defaultPivotStyle="PivotStyleLight16">
    <tableStyle name="Slicer Style 1" pivot="0" table="0" count="1" xr9:uid="{0898BCC3-A3EA-475A-BF8A-D0D260715CCB}">
      <tableStyleElement type="wholeTable" dxfId="350"/>
    </tableStyle>
    <tableStyle name="Slicer Style 2" pivot="0" table="0" count="1" xr9:uid="{3785D961-9230-47A1-9DB2-A135DF0B5ABE}">
      <tableStyleElement type="wholeTable" dxfId="349"/>
    </tableStyle>
    <tableStyle name="Slicer Style 3" pivot="0" table="0" count="1" xr9:uid="{4C298366-985C-4FEC-8AC9-D83CDC6EED20}">
      <tableStyleElement type="wholeTable" dxfId="348"/>
    </tableStyle>
  </tableStyles>
  <colors>
    <mruColors>
      <color rgb="FFC9A84C"/>
      <color rgb="FFFFCA21"/>
      <color rgb="FF0D0F18"/>
      <color rgb="FF080B1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 MONTHLY ORDERS!PivotTable1</c:name>
    <c:fmtId val="4"/>
  </c:pivotSource>
  <c:chart>
    <c:title>
      <c:tx>
        <c:rich>
          <a:bodyPr rot="0" spcFirstLastPara="1" vertOverflow="ellipsis" vert="horz" wrap="square" anchor="ctr" anchorCtr="1"/>
          <a:lstStyle/>
          <a:p>
            <a:pPr lvl="2" algn="ctr" rtl="0">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a:t> MONTHLY ORDER VS REVENUE</a:t>
            </a:r>
          </a:p>
        </c:rich>
      </c:tx>
      <c:layout>
        <c:manualLayout>
          <c:xMode val="edge"/>
          <c:yMode val="edge"/>
          <c:x val="0.15658075985182704"/>
          <c:y val="1.0802375664580388E-2"/>
        </c:manualLayout>
      </c:layout>
      <c:overlay val="0"/>
      <c:spPr>
        <a:noFill/>
        <a:ln>
          <a:noFill/>
        </a:ln>
        <a:effectLst/>
      </c:spPr>
      <c:txPr>
        <a:bodyPr rot="0" spcFirstLastPara="1" vertOverflow="ellipsis" vert="horz" wrap="square" anchor="ctr" anchorCtr="1"/>
        <a:lstStyle/>
        <a:p>
          <a:pPr lvl="2" algn="ctr" rtl="0">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12571345248510601"/>
          <c:w val="0.77750349956255482"/>
          <c:h val="0.7672575650265937"/>
        </c:manualLayout>
      </c:layout>
      <c:barChart>
        <c:barDir val="col"/>
        <c:grouping val="clustered"/>
        <c:varyColors val="0"/>
        <c:ser>
          <c:idx val="0"/>
          <c:order val="0"/>
          <c:tx>
            <c:strRef>
              <c:f>' MONTHLY ORDERS'!$B$2</c:f>
              <c:strCache>
                <c:ptCount val="1"/>
                <c:pt idx="0">
                  <c:v>No of orders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invertIfNegative val="0"/>
          <c:cat>
            <c:strRef>
              <c:f>' MONTHLY ORDERS'!$A$3:$A$6</c:f>
              <c:strCache>
                <c:ptCount val="3"/>
                <c:pt idx="0">
                  <c:v>April</c:v>
                </c:pt>
                <c:pt idx="1">
                  <c:v>May</c:v>
                </c:pt>
                <c:pt idx="2">
                  <c:v>June</c:v>
                </c:pt>
              </c:strCache>
            </c:strRef>
          </c:cat>
          <c:val>
            <c:numRef>
              <c:f>' MONTHLY ORDERS'!$B$3:$B$6</c:f>
              <c:numCache>
                <c:formatCode>General</c:formatCode>
                <c:ptCount val="3"/>
                <c:pt idx="0">
                  <c:v>62</c:v>
                </c:pt>
                <c:pt idx="1">
                  <c:v>48</c:v>
                </c:pt>
                <c:pt idx="2">
                  <c:v>30</c:v>
                </c:pt>
              </c:numCache>
            </c:numRef>
          </c:val>
          <c:extLst>
            <c:ext xmlns:c16="http://schemas.microsoft.com/office/drawing/2014/chart" uri="{C3380CC4-5D6E-409C-BE32-E72D297353CC}">
              <c16:uniqueId val="{00000001-7919-4A0F-B53B-898AEE33AF50}"/>
            </c:ext>
          </c:extLst>
        </c:ser>
        <c:dLbls>
          <c:showLegendKey val="0"/>
          <c:showVal val="0"/>
          <c:showCatName val="0"/>
          <c:showSerName val="0"/>
          <c:showPercent val="0"/>
          <c:showBubbleSize val="0"/>
        </c:dLbls>
        <c:gapWidth val="219"/>
        <c:overlap val="-27"/>
        <c:axId val="2034414320"/>
        <c:axId val="2034415280"/>
      </c:barChart>
      <c:lineChart>
        <c:grouping val="standard"/>
        <c:varyColors val="0"/>
        <c:ser>
          <c:idx val="1"/>
          <c:order val="1"/>
          <c:tx>
            <c:strRef>
              <c:f>' MONTHLY ORDERS'!$C$2</c:f>
              <c:strCache>
                <c:ptCount val="1"/>
                <c:pt idx="0">
                  <c:v>Sum of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MONTHLY ORDERS'!$A$3:$A$6</c:f>
              <c:strCache>
                <c:ptCount val="3"/>
                <c:pt idx="0">
                  <c:v>April</c:v>
                </c:pt>
                <c:pt idx="1">
                  <c:v>May</c:v>
                </c:pt>
                <c:pt idx="2">
                  <c:v>June</c:v>
                </c:pt>
              </c:strCache>
            </c:strRef>
          </c:cat>
          <c:val>
            <c:numRef>
              <c:f>' MONTHLY ORDERS'!$C$3:$C$6</c:f>
              <c:numCache>
                <c:formatCode>General</c:formatCode>
                <c:ptCount val="3"/>
                <c:pt idx="0">
                  <c:v>212768</c:v>
                </c:pt>
                <c:pt idx="1">
                  <c:v>206357</c:v>
                </c:pt>
                <c:pt idx="2">
                  <c:v>242347</c:v>
                </c:pt>
              </c:numCache>
            </c:numRef>
          </c:val>
          <c:smooth val="0"/>
          <c:extLst>
            <c:ext xmlns:c16="http://schemas.microsoft.com/office/drawing/2014/chart" uri="{C3380CC4-5D6E-409C-BE32-E72D297353CC}">
              <c16:uniqueId val="{00000003-7919-4A0F-B53B-898AEE33AF50}"/>
            </c:ext>
          </c:extLst>
        </c:ser>
        <c:dLbls>
          <c:showLegendKey val="0"/>
          <c:showVal val="0"/>
          <c:showCatName val="0"/>
          <c:showSerName val="0"/>
          <c:showPercent val="0"/>
          <c:showBubbleSize val="0"/>
        </c:dLbls>
        <c:marker val="1"/>
        <c:smooth val="0"/>
        <c:axId val="1801473840"/>
        <c:axId val="1801473360"/>
      </c:lineChart>
      <c:catAx>
        <c:axId val="2034414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34415280"/>
        <c:crosses val="autoZero"/>
        <c:auto val="1"/>
        <c:lblAlgn val="ctr"/>
        <c:lblOffset val="100"/>
        <c:noMultiLvlLbl val="0"/>
      </c:catAx>
      <c:valAx>
        <c:axId val="203441528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34414320"/>
        <c:crosses val="autoZero"/>
        <c:crossBetween val="between"/>
      </c:valAx>
      <c:valAx>
        <c:axId val="18014733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801473840"/>
        <c:crosses val="max"/>
        <c:crossBetween val="between"/>
      </c:valAx>
      <c:catAx>
        <c:axId val="1801473840"/>
        <c:scaling>
          <c:orientation val="minMax"/>
        </c:scaling>
        <c:delete val="1"/>
        <c:axPos val="b"/>
        <c:numFmt formatCode="General" sourceLinked="1"/>
        <c:majorTickMark val="none"/>
        <c:minorTickMark val="none"/>
        <c:tickLblPos val="nextTo"/>
        <c:crossAx val="1801473360"/>
        <c:crosses val="autoZero"/>
        <c:auto val="1"/>
        <c:lblAlgn val="ctr"/>
        <c:lblOffset val="100"/>
        <c:noMultiLvlLbl val="0"/>
      </c:catAx>
      <c:spPr>
        <a:noFill/>
        <a:ln>
          <a:solidFill>
            <a:srgbClr val="FFC000"/>
          </a:solidFill>
        </a:ln>
        <a:effectLst/>
      </c:spPr>
    </c:plotArea>
    <c:legend>
      <c:legendPos val="r"/>
      <c:layout>
        <c:manualLayout>
          <c:xMode val="edge"/>
          <c:yMode val="edge"/>
          <c:x val="0.63660731774199864"/>
          <c:y val="1.8163819487961928E-3"/>
          <c:w val="0.36339268225800131"/>
          <c:h val="0.1117355222424119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PORTFOLIO.xlsx]REVENUE BY CITY!PivotTable3</c:name>
    <c:fmtId val="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 CITY WISE REVENUE ANALYSIS</a:t>
            </a:r>
          </a:p>
          <a:p>
            <a:pPr>
              <a:defRPr sz="1800"/>
            </a:pPr>
            <a:endParaRPr lang="en-US" sz="1800"/>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CITY'!$A$4:$A$14</c:f>
              <c:strCache>
                <c:ptCount val="10"/>
                <c:pt idx="0">
                  <c:v>Ahmedabad</c:v>
                </c:pt>
                <c:pt idx="1">
                  <c:v>Bangalore</c:v>
                </c:pt>
                <c:pt idx="2">
                  <c:v>Chennai</c:v>
                </c:pt>
                <c:pt idx="3">
                  <c:v>Delhi</c:v>
                </c:pt>
                <c:pt idx="4">
                  <c:v>Hyderabad</c:v>
                </c:pt>
                <c:pt idx="5">
                  <c:v>Jaipur</c:v>
                </c:pt>
                <c:pt idx="6">
                  <c:v>Kochi</c:v>
                </c:pt>
                <c:pt idx="7">
                  <c:v>Mumbai</c:v>
                </c:pt>
                <c:pt idx="8">
                  <c:v>Mysore</c:v>
                </c:pt>
                <c:pt idx="9">
                  <c:v>Pune</c:v>
                </c:pt>
              </c:strCache>
            </c:strRef>
          </c:cat>
          <c:val>
            <c:numRef>
              <c:f>'REVENUE BY CITY'!$B$4:$B$14</c:f>
              <c:numCache>
                <c:formatCode>General</c:formatCode>
                <c:ptCount val="10"/>
                <c:pt idx="0">
                  <c:v>82777</c:v>
                </c:pt>
                <c:pt idx="1">
                  <c:v>85880</c:v>
                </c:pt>
                <c:pt idx="2">
                  <c:v>102777</c:v>
                </c:pt>
                <c:pt idx="3">
                  <c:v>53289</c:v>
                </c:pt>
                <c:pt idx="4">
                  <c:v>56090</c:v>
                </c:pt>
                <c:pt idx="5">
                  <c:v>92580</c:v>
                </c:pt>
                <c:pt idx="6">
                  <c:v>46900</c:v>
                </c:pt>
                <c:pt idx="7">
                  <c:v>76686</c:v>
                </c:pt>
                <c:pt idx="8">
                  <c:v>15500</c:v>
                </c:pt>
                <c:pt idx="9">
                  <c:v>48993</c:v>
                </c:pt>
              </c:numCache>
            </c:numRef>
          </c:val>
          <c:extLst>
            <c:ext xmlns:c16="http://schemas.microsoft.com/office/drawing/2014/chart" uri="{C3380CC4-5D6E-409C-BE32-E72D297353CC}">
              <c16:uniqueId val="{00000000-1F8A-41D3-B02C-8BDE5E588321}"/>
            </c:ext>
          </c:extLst>
        </c:ser>
        <c:dLbls>
          <c:dLblPos val="outEnd"/>
          <c:showLegendKey val="0"/>
          <c:showVal val="1"/>
          <c:showCatName val="0"/>
          <c:showSerName val="0"/>
          <c:showPercent val="0"/>
          <c:showBubbleSize val="0"/>
        </c:dLbls>
        <c:gapWidth val="219"/>
        <c:axId val="1360215520"/>
        <c:axId val="1360200640"/>
      </c:barChart>
      <c:catAx>
        <c:axId val="13602155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360200640"/>
        <c:crosses val="autoZero"/>
        <c:auto val="1"/>
        <c:lblAlgn val="ctr"/>
        <c:lblOffset val="100"/>
        <c:noMultiLvlLbl val="0"/>
      </c:catAx>
      <c:valAx>
        <c:axId val="136020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36021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 GENDER WISE SALES!PivotTable3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r>
              <a:rPr lang="en-IN" baseline="0"/>
              <a:t> WISE SALES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A21"/>
            </a:solidFill>
          </a:ln>
          <a:effectLst>
            <a:outerShdw blurRad="57150" dist="19050" dir="5400000" algn="ctr" rotWithShape="0">
              <a:srgbClr val="000000">
                <a:alpha val="63000"/>
              </a:srgbClr>
            </a:outerShdw>
          </a:effectLst>
          <a:sp3d>
            <a:contourClr>
              <a:srgbClr val="FFCA2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A21"/>
            </a:solidFill>
          </a:ln>
          <a:effectLst>
            <a:outerShdw blurRad="57150" dist="19050" dir="5400000" algn="ctr" rotWithShape="0">
              <a:srgbClr val="000000">
                <a:alpha val="63000"/>
              </a:srgbClr>
            </a:outerShdw>
          </a:effectLst>
          <a:sp3d>
            <a:contourClr>
              <a:srgbClr val="FFCA21"/>
            </a:contourClr>
          </a:sp3d>
        </c:spPr>
        <c:dLbl>
          <c:idx val="0"/>
          <c:layout>
            <c:manualLayout>
              <c:x val="5.7013290955504883E-3"/>
              <c:y val="0.1236785188436811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775750665146331"/>
                  <c:h val="0.12340301974448316"/>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A21"/>
            </a:solidFill>
          </a:ln>
          <a:effectLst>
            <a:outerShdw blurRad="57150" dist="19050" dir="5400000" algn="ctr" rotWithShape="0">
              <a:srgbClr val="000000">
                <a:alpha val="63000"/>
              </a:srgbClr>
            </a:outerShdw>
          </a:effectLst>
          <a:sp3d>
            <a:contourClr>
              <a:srgbClr val="FFCA21"/>
            </a:contourClr>
          </a:sp3d>
        </c:spPr>
        <c:dLbl>
          <c:idx val="0"/>
          <c:layout>
            <c:manualLayout>
              <c:x val="-0.11022424933485367"/>
              <c:y val="-0.16716519428973817"/>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825541619156217"/>
                  <c:h val="0.1067073170731707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GENDER WISE SALES'!$B$3</c:f>
              <c:strCache>
                <c:ptCount val="1"/>
                <c:pt idx="0">
                  <c:v>Total</c:v>
                </c:pt>
              </c:strCache>
            </c:strRef>
          </c:tx>
          <c:spPr>
            <a:ln>
              <a:solidFill>
                <a:srgbClr val="FFCA2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A21"/>
                </a:solidFill>
              </a:ln>
              <a:effectLst>
                <a:outerShdw blurRad="57150" dist="19050" dir="5400000" algn="ctr" rotWithShape="0">
                  <a:srgbClr val="000000">
                    <a:alpha val="63000"/>
                  </a:srgbClr>
                </a:outerShdw>
              </a:effectLst>
              <a:sp3d>
                <a:contourClr>
                  <a:srgbClr val="FFCA21"/>
                </a:contourClr>
              </a:sp3d>
            </c:spPr>
            <c:extLst>
              <c:ext xmlns:c16="http://schemas.microsoft.com/office/drawing/2014/chart" uri="{C3380CC4-5D6E-409C-BE32-E72D297353CC}">
                <c16:uniqueId val="{00000001-951D-4C98-AE36-E35FE7FF4A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FFCA21"/>
                </a:solidFill>
              </a:ln>
              <a:effectLst>
                <a:outerShdw blurRad="57150" dist="19050" dir="5400000" algn="ctr" rotWithShape="0">
                  <a:srgbClr val="000000">
                    <a:alpha val="63000"/>
                  </a:srgbClr>
                </a:outerShdw>
              </a:effectLst>
              <a:sp3d>
                <a:contourClr>
                  <a:srgbClr val="FFCA21"/>
                </a:contourClr>
              </a:sp3d>
            </c:spPr>
            <c:extLst>
              <c:ext xmlns:c16="http://schemas.microsoft.com/office/drawing/2014/chart" uri="{C3380CC4-5D6E-409C-BE32-E72D297353CC}">
                <c16:uniqueId val="{00000003-951D-4C98-AE36-E35FE7FF4A70}"/>
              </c:ext>
            </c:extLst>
          </c:dPt>
          <c:dLbls>
            <c:dLbl>
              <c:idx val="0"/>
              <c:layout>
                <c:manualLayout>
                  <c:x val="5.7013290955504883E-3"/>
                  <c:y val="0.1236785188436811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775750665146331"/>
                      <c:h val="0.12340301974448316"/>
                    </c:manualLayout>
                  </c15:layout>
                </c:ext>
                <c:ext xmlns:c16="http://schemas.microsoft.com/office/drawing/2014/chart" uri="{C3380CC4-5D6E-409C-BE32-E72D297353CC}">
                  <c16:uniqueId val="{00000001-951D-4C98-AE36-E35FE7FF4A70}"/>
                </c:ext>
              </c:extLst>
            </c:dLbl>
            <c:dLbl>
              <c:idx val="1"/>
              <c:layout>
                <c:manualLayout>
                  <c:x val="-0.11022424933485367"/>
                  <c:y val="-0.16716519428973817"/>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825541619156217"/>
                      <c:h val="0.10670731707317072"/>
                    </c:manualLayout>
                  </c15:layout>
                </c:ext>
                <c:ext xmlns:c16="http://schemas.microsoft.com/office/drawing/2014/chart" uri="{C3380CC4-5D6E-409C-BE32-E72D297353CC}">
                  <c16:uniqueId val="{00000003-951D-4C98-AE36-E35FE7FF4A70}"/>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GENDER WISE SALES'!$A$4:$A$6</c:f>
              <c:strCache>
                <c:ptCount val="2"/>
                <c:pt idx="0">
                  <c:v>Female</c:v>
                </c:pt>
                <c:pt idx="1">
                  <c:v>Male</c:v>
                </c:pt>
              </c:strCache>
            </c:strRef>
          </c:cat>
          <c:val>
            <c:numRef>
              <c:f>' GENDER WISE SALES'!$B$4:$B$6</c:f>
              <c:numCache>
                <c:formatCode>0.00%</c:formatCode>
                <c:ptCount val="2"/>
                <c:pt idx="0">
                  <c:v>0.6305603260606647</c:v>
                </c:pt>
                <c:pt idx="1">
                  <c:v>0.3694396739393353</c:v>
                </c:pt>
              </c:numCache>
            </c:numRef>
          </c:val>
          <c:extLst>
            <c:ext xmlns:c16="http://schemas.microsoft.com/office/drawing/2014/chart" uri="{C3380CC4-5D6E-409C-BE32-E72D297353CC}">
              <c16:uniqueId val="{00000000-6118-4203-AE4D-A3FA863608C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 CATEGORY WISE REVENUE!PivotTable2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r>
              <a:rPr lang="en-IN" sz="1600" b="1" i="0" u="none" strike="noStrike" baseline="0">
                <a:effectLst>
                  <a:outerShdw blurRad="50800" dist="38100" dir="5400000" algn="t" rotWithShape="0">
                    <a:prstClr val="black">
                      <a:alpha val="40000"/>
                    </a:prstClr>
                  </a:outerShdw>
                </a:effectLst>
              </a:rPr>
              <a:t> CATEGORY WISE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1755597589409"/>
          <c:y val="0.10028359550294308"/>
          <c:w val="0.75858238390592236"/>
          <c:h val="0.7632150147898179"/>
        </c:manualLayout>
      </c:layout>
      <c:barChart>
        <c:barDir val="col"/>
        <c:grouping val="stacked"/>
        <c:varyColors val="0"/>
        <c:ser>
          <c:idx val="0"/>
          <c:order val="0"/>
          <c:tx>
            <c:strRef>
              <c:f>' CATEGORY WISE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CATEGORY WISE REVENUE'!$A$4:$A$27</c:f>
              <c:strCache>
                <c:ptCount val="23"/>
                <c:pt idx="0">
                  <c:v>Saree</c:v>
                </c:pt>
                <c:pt idx="1">
                  <c:v>EthnicSet</c:v>
                </c:pt>
                <c:pt idx="2">
                  <c:v>Kurti</c:v>
                </c:pt>
                <c:pt idx="3">
                  <c:v>Tracksuit</c:v>
                </c:pt>
                <c:pt idx="4">
                  <c:v>Blazer</c:v>
                </c:pt>
                <c:pt idx="5">
                  <c:v>Co-ordSet</c:v>
                </c:pt>
                <c:pt idx="6">
                  <c:v>Hoodie</c:v>
                </c:pt>
                <c:pt idx="7">
                  <c:v>CargoPants</c:v>
                </c:pt>
                <c:pt idx="8">
                  <c:v>Jumbosuit</c:v>
                </c:pt>
                <c:pt idx="9">
                  <c:v>Jeans</c:v>
                </c:pt>
                <c:pt idx="10">
                  <c:v>FormalShirt</c:v>
                </c:pt>
                <c:pt idx="11">
                  <c:v>Maxi-Dress</c:v>
                </c:pt>
                <c:pt idx="12">
                  <c:v>Palazzo-Pants</c:v>
                </c:pt>
                <c:pt idx="13">
                  <c:v>CropTop</c:v>
                </c:pt>
                <c:pt idx="14">
                  <c:v>PoloT-Shirt</c:v>
                </c:pt>
                <c:pt idx="15">
                  <c:v>OversizedT-Shirt</c:v>
                </c:pt>
                <c:pt idx="16">
                  <c:v>Denim-Shirt</c:v>
                </c:pt>
                <c:pt idx="17">
                  <c:v>Denim-Skirt</c:v>
                </c:pt>
                <c:pt idx="18">
                  <c:v>Cotton-Kurti</c:v>
                </c:pt>
                <c:pt idx="19">
                  <c:v>Casual-Shirt</c:v>
                </c:pt>
                <c:pt idx="20">
                  <c:v>Sweatshirt</c:v>
                </c:pt>
                <c:pt idx="21">
                  <c:v>Denim-Jacket</c:v>
                </c:pt>
                <c:pt idx="22">
                  <c:v>Floral-Dress</c:v>
                </c:pt>
              </c:strCache>
            </c:strRef>
          </c:cat>
          <c:val>
            <c:numRef>
              <c:f>' CATEGORY WISE REVENUE'!$B$4:$B$27</c:f>
              <c:numCache>
                <c:formatCode>General</c:formatCode>
                <c:ptCount val="23"/>
                <c:pt idx="0">
                  <c:v>179940</c:v>
                </c:pt>
                <c:pt idx="1">
                  <c:v>58500</c:v>
                </c:pt>
                <c:pt idx="2">
                  <c:v>37758</c:v>
                </c:pt>
                <c:pt idx="3">
                  <c:v>33300</c:v>
                </c:pt>
                <c:pt idx="4">
                  <c:v>32400</c:v>
                </c:pt>
                <c:pt idx="5">
                  <c:v>30400</c:v>
                </c:pt>
                <c:pt idx="6">
                  <c:v>28000</c:v>
                </c:pt>
                <c:pt idx="7">
                  <c:v>26400</c:v>
                </c:pt>
                <c:pt idx="8">
                  <c:v>26100</c:v>
                </c:pt>
                <c:pt idx="9">
                  <c:v>25674</c:v>
                </c:pt>
                <c:pt idx="10">
                  <c:v>25600</c:v>
                </c:pt>
                <c:pt idx="11">
                  <c:v>25200</c:v>
                </c:pt>
                <c:pt idx="12">
                  <c:v>20800</c:v>
                </c:pt>
                <c:pt idx="13">
                  <c:v>18600</c:v>
                </c:pt>
                <c:pt idx="14">
                  <c:v>16800</c:v>
                </c:pt>
                <c:pt idx="15">
                  <c:v>16800</c:v>
                </c:pt>
                <c:pt idx="16">
                  <c:v>11700</c:v>
                </c:pt>
                <c:pt idx="17">
                  <c:v>9900</c:v>
                </c:pt>
                <c:pt idx="18">
                  <c:v>9600</c:v>
                </c:pt>
                <c:pt idx="19">
                  <c:v>9000</c:v>
                </c:pt>
                <c:pt idx="20">
                  <c:v>7600</c:v>
                </c:pt>
                <c:pt idx="21">
                  <c:v>7200</c:v>
                </c:pt>
                <c:pt idx="22">
                  <c:v>4200</c:v>
                </c:pt>
              </c:numCache>
            </c:numRef>
          </c:val>
          <c:extLst>
            <c:ext xmlns:c16="http://schemas.microsoft.com/office/drawing/2014/chart" uri="{C3380CC4-5D6E-409C-BE32-E72D297353CC}">
              <c16:uniqueId val="{00000000-460D-4E2A-9E2C-3500B98A8E64}"/>
            </c:ext>
          </c:extLst>
        </c:ser>
        <c:dLbls>
          <c:showLegendKey val="0"/>
          <c:showVal val="0"/>
          <c:showCatName val="0"/>
          <c:showSerName val="0"/>
          <c:showPercent val="0"/>
          <c:showBubbleSize val="0"/>
        </c:dLbls>
        <c:gapWidth val="150"/>
        <c:overlap val="100"/>
        <c:axId val="1519073040"/>
        <c:axId val="1519067760"/>
      </c:barChart>
      <c:catAx>
        <c:axId val="1519073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519067760"/>
        <c:crosses val="autoZero"/>
        <c:auto val="1"/>
        <c:lblAlgn val="ctr"/>
        <c:lblOffset val="100"/>
        <c:noMultiLvlLbl val="0"/>
      </c:catAx>
      <c:valAx>
        <c:axId val="1519067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solidFill>
              <a:srgbClr val="FFC000"/>
            </a:solid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519073040"/>
        <c:crosses val="autoZero"/>
        <c:crossBetween val="between"/>
      </c:valAx>
      <c:spPr>
        <a:noFill/>
        <a:ln w="25400">
          <a:solidFill>
            <a:srgbClr val="FFC000"/>
          </a:solid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A2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PORTFOLIO.xlsx]PAYMENT METHOD!PivotTable2</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PAYMENT METHOD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543209876543211"/>
              <c:y val="-9.7613882863340565E-2"/>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r>
                  <a:rPr lang="en-US" sz="1800" b="1"/>
                  <a:t>8.51%</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543209876543211"/>
              <c:y val="-9.7613882863340565E-2"/>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r>
                  <a:rPr lang="en-US" sz="1800" b="1"/>
                  <a:t>24.50%</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7037037037037037"/>
              <c:y val="-0.17715112075198847"/>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r>
                  <a:rPr lang="en-US" sz="1800" b="1"/>
                  <a:t>66.99% </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FD06-4711-8E38-A1350A2FE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D06-4711-8E38-A1350A2FE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FD06-4711-8E38-A1350A2FE22A}"/>
              </c:ext>
            </c:extLst>
          </c:dPt>
          <c:dLbls>
            <c:dLbl>
              <c:idx val="0"/>
              <c:layout>
                <c:manualLayout>
                  <c:x val="0.16543209876543211"/>
                  <c:y val="-9.7613882863340565E-2"/>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r>
                      <a:rPr lang="en-US" sz="1800" b="1"/>
                      <a:t>8.51%</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D06-4711-8E38-A1350A2FE22A}"/>
                </c:ext>
              </c:extLst>
            </c:dLbl>
            <c:dLbl>
              <c:idx val="1"/>
              <c:layout>
                <c:manualLayout>
                  <c:x val="0.16543209876543211"/>
                  <c:y val="-9.7613882863340565E-2"/>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r>
                      <a:rPr lang="en-US" sz="1800" b="1"/>
                      <a:t>24.50%</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D06-4711-8E38-A1350A2FE22A}"/>
                </c:ext>
              </c:extLst>
            </c:dLbl>
            <c:dLbl>
              <c:idx val="2"/>
              <c:layout>
                <c:manualLayout>
                  <c:x val="0.17037037037037037"/>
                  <c:y val="-0.17715112075198847"/>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r>
                      <a:rPr lang="en-US" sz="1800" b="1"/>
                      <a:t>66.99% </a:t>
                    </a:r>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D06-4711-8E38-A1350A2FE22A}"/>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METHOD'!$A$4:$A$7</c:f>
              <c:strCache>
                <c:ptCount val="3"/>
                <c:pt idx="0">
                  <c:v>Cash</c:v>
                </c:pt>
                <c:pt idx="1">
                  <c:v>NetBanking</c:v>
                </c:pt>
                <c:pt idx="2">
                  <c:v>UPI</c:v>
                </c:pt>
              </c:strCache>
            </c:strRef>
          </c:cat>
          <c:val>
            <c:numRef>
              <c:f>'PAYMENT METHOD'!$B$4:$B$7</c:f>
              <c:numCache>
                <c:formatCode>0.00%</c:formatCode>
                <c:ptCount val="3"/>
                <c:pt idx="0">
                  <c:v>8.5107154951381159E-2</c:v>
                </c:pt>
                <c:pt idx="1">
                  <c:v>0.24502019737796912</c:v>
                </c:pt>
                <c:pt idx="2">
                  <c:v>0.66987264767064969</c:v>
                </c:pt>
              </c:numCache>
            </c:numRef>
          </c:val>
          <c:extLst>
            <c:ext xmlns:c16="http://schemas.microsoft.com/office/drawing/2014/chart" uri="{C3380CC4-5D6E-409C-BE32-E72D297353CC}">
              <c16:uniqueId val="{00000000-FD06-4711-8E38-A1350A2FE22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A2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 DELIVERY STATUS ANALYSIS!PivotTable3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DELIVERY STATUS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95187165775384"/>
              <c:y val="-3.6075036075036075E-3"/>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126559714795023E-2"/>
              <c:y val="-5.411255411255411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126559714795023E-2"/>
              <c:y val="-5.411255411255411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 DELIVERY STATUS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55-4A10-A52B-2FFE327D3C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55-4A10-A52B-2FFE327D3C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F55-4A10-A52B-2FFE327D3CC4}"/>
              </c:ext>
            </c:extLst>
          </c:dPt>
          <c:dLbls>
            <c:dLbl>
              <c:idx val="0"/>
              <c:layout>
                <c:manualLayout>
                  <c:x val="0.10695187165775384"/>
                  <c:y val="-3.6075036075036075E-3"/>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55-4A10-A52B-2FFE327D3CC4}"/>
                </c:ext>
              </c:extLst>
            </c:dLbl>
            <c:dLbl>
              <c:idx val="1"/>
              <c:layout>
                <c:manualLayout>
                  <c:x val="-8.9126559714795023E-2"/>
                  <c:y val="-5.411255411255411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55-4A10-A52B-2FFE327D3CC4}"/>
                </c:ext>
              </c:extLst>
            </c:dLbl>
            <c:dLbl>
              <c:idx val="2"/>
              <c:layout>
                <c:manualLayout>
                  <c:x val="-8.9126559714795023E-2"/>
                  <c:y val="-5.411255411255411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55-4A10-A52B-2FFE327D3CC4}"/>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DELIVERY STATUS ANALYSIS'!$A$4:$A$7</c:f>
              <c:strCache>
                <c:ptCount val="3"/>
                <c:pt idx="0">
                  <c:v>Delivered</c:v>
                </c:pt>
                <c:pt idx="1">
                  <c:v>Processing</c:v>
                </c:pt>
                <c:pt idx="2">
                  <c:v>Shipped</c:v>
                </c:pt>
              </c:strCache>
            </c:strRef>
          </c:cat>
          <c:val>
            <c:numRef>
              <c:f>' DELIVERY STATUS ANALYSIS'!$B$4:$B$7</c:f>
              <c:numCache>
                <c:formatCode>General</c:formatCode>
                <c:ptCount val="3"/>
                <c:pt idx="0">
                  <c:v>104</c:v>
                </c:pt>
                <c:pt idx="1">
                  <c:v>15</c:v>
                </c:pt>
                <c:pt idx="2">
                  <c:v>21</c:v>
                </c:pt>
              </c:numCache>
            </c:numRef>
          </c:val>
          <c:extLst>
            <c:ext xmlns:c16="http://schemas.microsoft.com/office/drawing/2014/chart" uri="{C3380CC4-5D6E-409C-BE32-E72D297353CC}">
              <c16:uniqueId val="{00000000-D033-4700-9331-9A19917791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 SELL THROUGH RATE ANALYSIS!PivotTable2</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SELL</a:t>
            </a:r>
            <a:r>
              <a:rPr lang="en-IN" baseline="0"/>
              <a:t> THROUGH RATE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SELL THROUGH RATE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SELL THROUGH RATE ANALYSIS'!$A$4:$A$27</c:f>
              <c:strCache>
                <c:ptCount val="23"/>
                <c:pt idx="0">
                  <c:v>Cotton-Kurti</c:v>
                </c:pt>
                <c:pt idx="1">
                  <c:v>Denim-Jacket</c:v>
                </c:pt>
                <c:pt idx="2">
                  <c:v>Floral-Dress</c:v>
                </c:pt>
                <c:pt idx="3">
                  <c:v>Blazer</c:v>
                </c:pt>
                <c:pt idx="4">
                  <c:v>Sweatshirt</c:v>
                </c:pt>
                <c:pt idx="5">
                  <c:v>Co-ordSet</c:v>
                </c:pt>
                <c:pt idx="6">
                  <c:v>OversizedT-Shirt</c:v>
                </c:pt>
                <c:pt idx="7">
                  <c:v>Saree</c:v>
                </c:pt>
                <c:pt idx="8">
                  <c:v>EthnicSet</c:v>
                </c:pt>
                <c:pt idx="9">
                  <c:v>CropTop</c:v>
                </c:pt>
                <c:pt idx="10">
                  <c:v>Hoodie</c:v>
                </c:pt>
                <c:pt idx="11">
                  <c:v>Jumbosuit</c:v>
                </c:pt>
                <c:pt idx="12">
                  <c:v>Maxi-Dress</c:v>
                </c:pt>
                <c:pt idx="13">
                  <c:v>Tracksuit</c:v>
                </c:pt>
                <c:pt idx="14">
                  <c:v>Denim-Shirt</c:v>
                </c:pt>
                <c:pt idx="15">
                  <c:v>CargoPants</c:v>
                </c:pt>
                <c:pt idx="16">
                  <c:v>Denim-Skirt</c:v>
                </c:pt>
                <c:pt idx="17">
                  <c:v>Kurti</c:v>
                </c:pt>
                <c:pt idx="18">
                  <c:v>PoloT-Shirt</c:v>
                </c:pt>
                <c:pt idx="19">
                  <c:v>Casual-Shirt</c:v>
                </c:pt>
                <c:pt idx="20">
                  <c:v>Palazzo-Pants</c:v>
                </c:pt>
                <c:pt idx="21">
                  <c:v>Jeans</c:v>
                </c:pt>
                <c:pt idx="22">
                  <c:v>FormalShirt</c:v>
                </c:pt>
              </c:strCache>
            </c:strRef>
          </c:cat>
          <c:val>
            <c:numRef>
              <c:f>' SELL THROUGH RATE ANALYSIS'!$B$4:$B$27</c:f>
              <c:numCache>
                <c:formatCode>0.00;[Red]0.00</c:formatCode>
                <c:ptCount val="23"/>
                <c:pt idx="0">
                  <c:v>60</c:v>
                </c:pt>
                <c:pt idx="1">
                  <c:v>60</c:v>
                </c:pt>
                <c:pt idx="2">
                  <c:v>60</c:v>
                </c:pt>
                <c:pt idx="3">
                  <c:v>55.55555555555555</c:v>
                </c:pt>
                <c:pt idx="4">
                  <c:v>52.5</c:v>
                </c:pt>
                <c:pt idx="5">
                  <c:v>47.321428571428569</c:v>
                </c:pt>
                <c:pt idx="6">
                  <c:v>44.833333333333329</c:v>
                </c:pt>
                <c:pt idx="7">
                  <c:v>41.111111111111107</c:v>
                </c:pt>
                <c:pt idx="8">
                  <c:v>39.523809523809518</c:v>
                </c:pt>
                <c:pt idx="9">
                  <c:v>37.057823129251695</c:v>
                </c:pt>
                <c:pt idx="10">
                  <c:v>32.156084656084651</c:v>
                </c:pt>
                <c:pt idx="11">
                  <c:v>31.845238095238091</c:v>
                </c:pt>
                <c:pt idx="12">
                  <c:v>31.547619047619044</c:v>
                </c:pt>
                <c:pt idx="13">
                  <c:v>31.322751322751319</c:v>
                </c:pt>
                <c:pt idx="14">
                  <c:v>30.158730158730155</c:v>
                </c:pt>
                <c:pt idx="15">
                  <c:v>29.478458049886619</c:v>
                </c:pt>
                <c:pt idx="16">
                  <c:v>26.190476190476186</c:v>
                </c:pt>
                <c:pt idx="17">
                  <c:v>25.757575757575754</c:v>
                </c:pt>
                <c:pt idx="18">
                  <c:v>25.396825396825392</c:v>
                </c:pt>
                <c:pt idx="19">
                  <c:v>24.761904761904759</c:v>
                </c:pt>
                <c:pt idx="20">
                  <c:v>24.671201814058954</c:v>
                </c:pt>
                <c:pt idx="21">
                  <c:v>24.208333333333332</c:v>
                </c:pt>
                <c:pt idx="22">
                  <c:v>21.726190476190467</c:v>
                </c:pt>
              </c:numCache>
            </c:numRef>
          </c:val>
          <c:extLst>
            <c:ext xmlns:c16="http://schemas.microsoft.com/office/drawing/2014/chart" uri="{C3380CC4-5D6E-409C-BE32-E72D297353CC}">
              <c16:uniqueId val="{00000000-9A4A-473A-8202-4334493773E0}"/>
            </c:ext>
          </c:extLst>
        </c:ser>
        <c:dLbls>
          <c:showLegendKey val="0"/>
          <c:showVal val="0"/>
          <c:showCatName val="0"/>
          <c:showSerName val="0"/>
          <c:showPercent val="0"/>
          <c:showBubbleSize val="0"/>
        </c:dLbls>
        <c:gapWidth val="100"/>
        <c:overlap val="-24"/>
        <c:axId val="571397792"/>
        <c:axId val="571398272"/>
      </c:barChart>
      <c:catAx>
        <c:axId val="571397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398272"/>
        <c:crosses val="autoZero"/>
        <c:auto val="1"/>
        <c:lblAlgn val="ctr"/>
        <c:lblOffset val="100"/>
        <c:noMultiLvlLbl val="0"/>
      </c:catAx>
      <c:valAx>
        <c:axId val="571398272"/>
        <c:scaling>
          <c:orientation val="minMax"/>
        </c:scaling>
        <c:delete val="0"/>
        <c:axPos val="l"/>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39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A2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 DELIVERY STATUS ANALYSIS!PivotTable3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r>
              <a:rPr lang="en-US" sz="1200"/>
              <a:t>DELIVERY STATUS ANALYSIS</a:t>
            </a:r>
          </a:p>
        </c:rich>
      </c:tx>
      <c:layout>
        <c:manualLayout>
          <c:xMode val="edge"/>
          <c:yMode val="edge"/>
          <c:x val="0.11470487220574677"/>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25136160701587"/>
              <c:y val="0"/>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751034821332057E-2"/>
              <c:y val="2.142078862235655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751034821332057E-2"/>
              <c:y val="2.142078862235655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 DELIVERY STATUS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269-40B9-A129-CB1ECBF216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269-40B9-A129-CB1ECBF216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269-40B9-A129-CB1ECBF21626}"/>
              </c:ext>
            </c:extLst>
          </c:dPt>
          <c:dLbls>
            <c:dLbl>
              <c:idx val="0"/>
              <c:layout>
                <c:manualLayout>
                  <c:x val="0.1062513616070158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69-40B9-A129-CB1ECBF21626}"/>
                </c:ext>
              </c:extLst>
            </c:dLbl>
            <c:dLbl>
              <c:idx val="1"/>
              <c:layout>
                <c:manualLayout>
                  <c:x val="-8.0751034821332057E-2"/>
                  <c:y val="2.14207886223565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69-40B9-A129-CB1ECBF21626}"/>
                </c:ext>
              </c:extLst>
            </c:dLbl>
            <c:dLbl>
              <c:idx val="2"/>
              <c:layout>
                <c:manualLayout>
                  <c:x val="-8.0751034821332057E-2"/>
                  <c:y val="2.14207886223565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69-40B9-A129-CB1ECBF2162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DELIVERY STATUS ANALYSIS'!$A$4:$A$7</c:f>
              <c:strCache>
                <c:ptCount val="3"/>
                <c:pt idx="0">
                  <c:v>Delivered</c:v>
                </c:pt>
                <c:pt idx="1">
                  <c:v>Processing</c:v>
                </c:pt>
                <c:pt idx="2">
                  <c:v>Shipped</c:v>
                </c:pt>
              </c:strCache>
            </c:strRef>
          </c:cat>
          <c:val>
            <c:numRef>
              <c:f>' DELIVERY STATUS ANALYSIS'!$B$4:$B$7</c:f>
              <c:numCache>
                <c:formatCode>General</c:formatCode>
                <c:ptCount val="3"/>
                <c:pt idx="0">
                  <c:v>104</c:v>
                </c:pt>
                <c:pt idx="1">
                  <c:v>15</c:v>
                </c:pt>
                <c:pt idx="2">
                  <c:v>21</c:v>
                </c:pt>
              </c:numCache>
            </c:numRef>
          </c:val>
          <c:extLst>
            <c:ext xmlns:c16="http://schemas.microsoft.com/office/drawing/2014/chart" uri="{C3380CC4-5D6E-409C-BE32-E72D297353CC}">
              <c16:uniqueId val="{00000006-6269-40B9-A129-CB1ECBF216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solidFill>
            <a:srgbClr val="FFCA21"/>
          </a:solid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000"/>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 GENDER WISE SALES!PivotTable3</c:name>
    <c:fmtId val="15"/>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GENDER</a:t>
            </a:r>
            <a:r>
              <a:rPr lang="en-IN" sz="1200" baseline="0"/>
              <a:t> WISE SALES ANALYSIS</a:t>
            </a:r>
            <a:endParaRPr lang="en-IN"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GENDER WISE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023-4D79-8C58-48BC5FD9C4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023-4D79-8C58-48BC5FD9C4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GENDER WISE SALES'!$A$4:$A$6</c:f>
              <c:strCache>
                <c:ptCount val="2"/>
                <c:pt idx="0">
                  <c:v>Female</c:v>
                </c:pt>
                <c:pt idx="1">
                  <c:v>Male</c:v>
                </c:pt>
              </c:strCache>
            </c:strRef>
          </c:cat>
          <c:val>
            <c:numRef>
              <c:f>' GENDER WISE SALES'!$B$4:$B$6</c:f>
              <c:numCache>
                <c:formatCode>0.00%</c:formatCode>
                <c:ptCount val="2"/>
                <c:pt idx="0">
                  <c:v>0.6305603260606647</c:v>
                </c:pt>
                <c:pt idx="1">
                  <c:v>0.3694396739393353</c:v>
                </c:pt>
              </c:numCache>
            </c:numRef>
          </c:val>
          <c:extLst>
            <c:ext xmlns:c16="http://schemas.microsoft.com/office/drawing/2014/chart" uri="{C3380CC4-5D6E-409C-BE32-E72D297353CC}">
              <c16:uniqueId val="{00000004-7023-4D79-8C58-48BC5FD9C42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solidFill>
            <a:srgbClr val="FFCA21"/>
          </a:solid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A21"/>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 MONTHLY ORDERS!PivotTable1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       </a:t>
            </a:r>
            <a:r>
              <a:rPr lang="en-IN" sz="1100"/>
              <a:t>Monthly</a:t>
            </a:r>
            <a:r>
              <a:rPr lang="en-IN" sz="1100" baseline="0"/>
              <a:t> orders vs Revenue Trend</a:t>
            </a:r>
            <a:endParaRPr lang="en-IN" sz="1100"/>
          </a:p>
        </c:rich>
      </c:tx>
      <c:layout>
        <c:manualLayout>
          <c:xMode val="edge"/>
          <c:yMode val="edge"/>
          <c:x val="9.4635261109603079E-4"/>
          <c:y val="1.0802469135802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1462620736453"/>
          <c:y val="6.9294227924353954E-2"/>
          <c:w val="0.77750349956255482"/>
          <c:h val="0.7672575650265937"/>
        </c:manualLayout>
      </c:layout>
      <c:barChart>
        <c:barDir val="col"/>
        <c:grouping val="clustered"/>
        <c:varyColors val="0"/>
        <c:ser>
          <c:idx val="0"/>
          <c:order val="0"/>
          <c:tx>
            <c:strRef>
              <c:f>' MONTHLY ORDERS'!$B$2</c:f>
              <c:strCache>
                <c:ptCount val="1"/>
                <c:pt idx="0">
                  <c:v>No of orders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MONTHLY ORDERS'!$A$3:$A$6</c:f>
              <c:strCache>
                <c:ptCount val="3"/>
                <c:pt idx="0">
                  <c:v>April</c:v>
                </c:pt>
                <c:pt idx="1">
                  <c:v>May</c:v>
                </c:pt>
                <c:pt idx="2">
                  <c:v>June</c:v>
                </c:pt>
              </c:strCache>
            </c:strRef>
          </c:cat>
          <c:val>
            <c:numRef>
              <c:f>' MONTHLY ORDERS'!$B$3:$B$6</c:f>
              <c:numCache>
                <c:formatCode>General</c:formatCode>
                <c:ptCount val="3"/>
                <c:pt idx="0">
                  <c:v>62</c:v>
                </c:pt>
                <c:pt idx="1">
                  <c:v>48</c:v>
                </c:pt>
                <c:pt idx="2">
                  <c:v>30</c:v>
                </c:pt>
              </c:numCache>
            </c:numRef>
          </c:val>
          <c:extLst>
            <c:ext xmlns:c16="http://schemas.microsoft.com/office/drawing/2014/chart" uri="{C3380CC4-5D6E-409C-BE32-E72D297353CC}">
              <c16:uniqueId val="{00000000-1DDE-4065-B29C-E787E89E482A}"/>
            </c:ext>
          </c:extLst>
        </c:ser>
        <c:dLbls>
          <c:showLegendKey val="0"/>
          <c:showVal val="0"/>
          <c:showCatName val="0"/>
          <c:showSerName val="0"/>
          <c:showPercent val="0"/>
          <c:showBubbleSize val="0"/>
        </c:dLbls>
        <c:gapWidth val="219"/>
        <c:overlap val="-27"/>
        <c:axId val="2034414320"/>
        <c:axId val="2034415280"/>
      </c:barChart>
      <c:lineChart>
        <c:grouping val="standard"/>
        <c:varyColors val="0"/>
        <c:ser>
          <c:idx val="1"/>
          <c:order val="1"/>
          <c:tx>
            <c:strRef>
              <c:f>' MONTHLY ORDERS'!$C$2</c:f>
              <c:strCache>
                <c:ptCount val="1"/>
                <c:pt idx="0">
                  <c:v>Sum of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MONTHLY ORDERS'!$A$3:$A$6</c:f>
              <c:strCache>
                <c:ptCount val="3"/>
                <c:pt idx="0">
                  <c:v>April</c:v>
                </c:pt>
                <c:pt idx="1">
                  <c:v>May</c:v>
                </c:pt>
                <c:pt idx="2">
                  <c:v>June</c:v>
                </c:pt>
              </c:strCache>
            </c:strRef>
          </c:cat>
          <c:val>
            <c:numRef>
              <c:f>' MONTHLY ORDERS'!$C$3:$C$6</c:f>
              <c:numCache>
                <c:formatCode>General</c:formatCode>
                <c:ptCount val="3"/>
                <c:pt idx="0">
                  <c:v>212768</c:v>
                </c:pt>
                <c:pt idx="1">
                  <c:v>206357</c:v>
                </c:pt>
                <c:pt idx="2">
                  <c:v>242347</c:v>
                </c:pt>
              </c:numCache>
            </c:numRef>
          </c:val>
          <c:smooth val="0"/>
          <c:extLst>
            <c:ext xmlns:c16="http://schemas.microsoft.com/office/drawing/2014/chart" uri="{C3380CC4-5D6E-409C-BE32-E72D297353CC}">
              <c16:uniqueId val="{00000001-1DDE-4065-B29C-E787E89E482A}"/>
            </c:ext>
          </c:extLst>
        </c:ser>
        <c:dLbls>
          <c:showLegendKey val="0"/>
          <c:showVal val="0"/>
          <c:showCatName val="0"/>
          <c:showSerName val="0"/>
          <c:showPercent val="0"/>
          <c:showBubbleSize val="0"/>
        </c:dLbls>
        <c:marker val="1"/>
        <c:smooth val="0"/>
        <c:axId val="1801473840"/>
        <c:axId val="1801473360"/>
      </c:lineChart>
      <c:catAx>
        <c:axId val="2034414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415280"/>
        <c:crosses val="autoZero"/>
        <c:auto val="1"/>
        <c:lblAlgn val="ctr"/>
        <c:lblOffset val="100"/>
        <c:noMultiLvlLbl val="0"/>
      </c:catAx>
      <c:valAx>
        <c:axId val="203441528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414320"/>
        <c:crosses val="autoZero"/>
        <c:crossBetween val="between"/>
      </c:valAx>
      <c:valAx>
        <c:axId val="18014733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473840"/>
        <c:crosses val="max"/>
        <c:crossBetween val="between"/>
      </c:valAx>
      <c:catAx>
        <c:axId val="1801473840"/>
        <c:scaling>
          <c:orientation val="minMax"/>
        </c:scaling>
        <c:delete val="1"/>
        <c:axPos val="b"/>
        <c:numFmt formatCode="General" sourceLinked="1"/>
        <c:majorTickMark val="none"/>
        <c:minorTickMark val="none"/>
        <c:tickLblPos val="nextTo"/>
        <c:crossAx val="180147336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A21"/>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 CATEGORY WISE REVENUE!PivotTable2</c:name>
    <c:fmtId val="17"/>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 </a:t>
            </a:r>
            <a:r>
              <a:rPr lang="en-IN" sz="1200" b="1" i="0" u="none" strike="noStrike" baseline="0">
                <a:effectLst>
                  <a:outerShdw blurRad="50800" dist="38100" dir="5400000" algn="t" rotWithShape="0">
                    <a:prstClr val="black">
                      <a:alpha val="40000"/>
                    </a:prstClr>
                  </a:outerShdw>
                </a:effectLst>
              </a:rPr>
              <a:t> CATEGORY WISE REVENUE</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1755597589409"/>
          <c:y val="0.10028359550294308"/>
          <c:w val="0.75858238390592236"/>
          <c:h val="0.7632150147898179"/>
        </c:manualLayout>
      </c:layout>
      <c:barChart>
        <c:barDir val="col"/>
        <c:grouping val="stacked"/>
        <c:varyColors val="0"/>
        <c:ser>
          <c:idx val="0"/>
          <c:order val="0"/>
          <c:tx>
            <c:strRef>
              <c:f>' CATEGORY WISE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CATEGORY WISE REVENUE'!$A$4:$A$27</c:f>
              <c:strCache>
                <c:ptCount val="23"/>
                <c:pt idx="0">
                  <c:v>Saree</c:v>
                </c:pt>
                <c:pt idx="1">
                  <c:v>EthnicSet</c:v>
                </c:pt>
                <c:pt idx="2">
                  <c:v>Kurti</c:v>
                </c:pt>
                <c:pt idx="3">
                  <c:v>Tracksuit</c:v>
                </c:pt>
                <c:pt idx="4">
                  <c:v>Blazer</c:v>
                </c:pt>
                <c:pt idx="5">
                  <c:v>Co-ordSet</c:v>
                </c:pt>
                <c:pt idx="6">
                  <c:v>Hoodie</c:v>
                </c:pt>
                <c:pt idx="7">
                  <c:v>CargoPants</c:v>
                </c:pt>
                <c:pt idx="8">
                  <c:v>Jumbosuit</c:v>
                </c:pt>
                <c:pt idx="9">
                  <c:v>Jeans</c:v>
                </c:pt>
                <c:pt idx="10">
                  <c:v>FormalShirt</c:v>
                </c:pt>
                <c:pt idx="11">
                  <c:v>Maxi-Dress</c:v>
                </c:pt>
                <c:pt idx="12">
                  <c:v>Palazzo-Pants</c:v>
                </c:pt>
                <c:pt idx="13">
                  <c:v>CropTop</c:v>
                </c:pt>
                <c:pt idx="14">
                  <c:v>PoloT-Shirt</c:v>
                </c:pt>
                <c:pt idx="15">
                  <c:v>OversizedT-Shirt</c:v>
                </c:pt>
                <c:pt idx="16">
                  <c:v>Denim-Shirt</c:v>
                </c:pt>
                <c:pt idx="17">
                  <c:v>Denim-Skirt</c:v>
                </c:pt>
                <c:pt idx="18">
                  <c:v>Cotton-Kurti</c:v>
                </c:pt>
                <c:pt idx="19">
                  <c:v>Casual-Shirt</c:v>
                </c:pt>
                <c:pt idx="20">
                  <c:v>Sweatshirt</c:v>
                </c:pt>
                <c:pt idx="21">
                  <c:v>Denim-Jacket</c:v>
                </c:pt>
                <c:pt idx="22">
                  <c:v>Floral-Dress</c:v>
                </c:pt>
              </c:strCache>
            </c:strRef>
          </c:cat>
          <c:val>
            <c:numRef>
              <c:f>' CATEGORY WISE REVENUE'!$B$4:$B$27</c:f>
              <c:numCache>
                <c:formatCode>General</c:formatCode>
                <c:ptCount val="23"/>
                <c:pt idx="0">
                  <c:v>179940</c:v>
                </c:pt>
                <c:pt idx="1">
                  <c:v>58500</c:v>
                </c:pt>
                <c:pt idx="2">
                  <c:v>37758</c:v>
                </c:pt>
                <c:pt idx="3">
                  <c:v>33300</c:v>
                </c:pt>
                <c:pt idx="4">
                  <c:v>32400</c:v>
                </c:pt>
                <c:pt idx="5">
                  <c:v>30400</c:v>
                </c:pt>
                <c:pt idx="6">
                  <c:v>28000</c:v>
                </c:pt>
                <c:pt idx="7">
                  <c:v>26400</c:v>
                </c:pt>
                <c:pt idx="8">
                  <c:v>26100</c:v>
                </c:pt>
                <c:pt idx="9">
                  <c:v>25674</c:v>
                </c:pt>
                <c:pt idx="10">
                  <c:v>25600</c:v>
                </c:pt>
                <c:pt idx="11">
                  <c:v>25200</c:v>
                </c:pt>
                <c:pt idx="12">
                  <c:v>20800</c:v>
                </c:pt>
                <c:pt idx="13">
                  <c:v>18600</c:v>
                </c:pt>
                <c:pt idx="14">
                  <c:v>16800</c:v>
                </c:pt>
                <c:pt idx="15">
                  <c:v>16800</c:v>
                </c:pt>
                <c:pt idx="16">
                  <c:v>11700</c:v>
                </c:pt>
                <c:pt idx="17">
                  <c:v>9900</c:v>
                </c:pt>
                <c:pt idx="18">
                  <c:v>9600</c:v>
                </c:pt>
                <c:pt idx="19">
                  <c:v>9000</c:v>
                </c:pt>
                <c:pt idx="20">
                  <c:v>7600</c:v>
                </c:pt>
                <c:pt idx="21">
                  <c:v>7200</c:v>
                </c:pt>
                <c:pt idx="22">
                  <c:v>4200</c:v>
                </c:pt>
              </c:numCache>
            </c:numRef>
          </c:val>
          <c:extLst>
            <c:ext xmlns:c16="http://schemas.microsoft.com/office/drawing/2014/chart" uri="{C3380CC4-5D6E-409C-BE32-E72D297353CC}">
              <c16:uniqueId val="{00000000-7988-4C7A-B975-63ACD20614F4}"/>
            </c:ext>
          </c:extLst>
        </c:ser>
        <c:dLbls>
          <c:showLegendKey val="0"/>
          <c:showVal val="0"/>
          <c:showCatName val="0"/>
          <c:showSerName val="0"/>
          <c:showPercent val="0"/>
          <c:showBubbleSize val="0"/>
        </c:dLbls>
        <c:gapWidth val="150"/>
        <c:overlap val="100"/>
        <c:axId val="1519073040"/>
        <c:axId val="1519067760"/>
      </c:barChart>
      <c:catAx>
        <c:axId val="1519073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519067760"/>
        <c:crosses val="autoZero"/>
        <c:auto val="1"/>
        <c:lblAlgn val="ctr"/>
        <c:lblOffset val="100"/>
        <c:noMultiLvlLbl val="0"/>
      </c:catAx>
      <c:valAx>
        <c:axId val="151906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9073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A2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PORTFOLIO.xlsx]REVENUE BY CITY!PivotTable3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 CITY WISE REVENUE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rgbClr val="FFCA2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solidFill>
                  <a:srgbClr val="FFCA2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CITY'!$A$4:$A$14</c:f>
              <c:strCache>
                <c:ptCount val="10"/>
                <c:pt idx="0">
                  <c:v>Ahmedabad</c:v>
                </c:pt>
                <c:pt idx="1">
                  <c:v>Bangalore</c:v>
                </c:pt>
                <c:pt idx="2">
                  <c:v>Chennai</c:v>
                </c:pt>
                <c:pt idx="3">
                  <c:v>Delhi</c:v>
                </c:pt>
                <c:pt idx="4">
                  <c:v>Hyderabad</c:v>
                </c:pt>
                <c:pt idx="5">
                  <c:v>Jaipur</c:v>
                </c:pt>
                <c:pt idx="6">
                  <c:v>Kochi</c:v>
                </c:pt>
                <c:pt idx="7">
                  <c:v>Mumbai</c:v>
                </c:pt>
                <c:pt idx="8">
                  <c:v>Mysore</c:v>
                </c:pt>
                <c:pt idx="9">
                  <c:v>Pune</c:v>
                </c:pt>
              </c:strCache>
            </c:strRef>
          </c:cat>
          <c:val>
            <c:numRef>
              <c:f>'REVENUE BY CITY'!$B$4:$B$14</c:f>
              <c:numCache>
                <c:formatCode>General</c:formatCode>
                <c:ptCount val="10"/>
                <c:pt idx="0">
                  <c:v>82777</c:v>
                </c:pt>
                <c:pt idx="1">
                  <c:v>85880</c:v>
                </c:pt>
                <c:pt idx="2">
                  <c:v>102777</c:v>
                </c:pt>
                <c:pt idx="3">
                  <c:v>53289</c:v>
                </c:pt>
                <c:pt idx="4">
                  <c:v>56090</c:v>
                </c:pt>
                <c:pt idx="5">
                  <c:v>92580</c:v>
                </c:pt>
                <c:pt idx="6">
                  <c:v>46900</c:v>
                </c:pt>
                <c:pt idx="7">
                  <c:v>76686</c:v>
                </c:pt>
                <c:pt idx="8">
                  <c:v>15500</c:v>
                </c:pt>
                <c:pt idx="9">
                  <c:v>48993</c:v>
                </c:pt>
              </c:numCache>
            </c:numRef>
          </c:val>
          <c:extLst>
            <c:ext xmlns:c16="http://schemas.microsoft.com/office/drawing/2014/chart" uri="{C3380CC4-5D6E-409C-BE32-E72D297353CC}">
              <c16:uniqueId val="{00000000-CFD2-4D92-9541-0CD04F95CDC6}"/>
            </c:ext>
          </c:extLst>
        </c:ser>
        <c:dLbls>
          <c:dLblPos val="outEnd"/>
          <c:showLegendKey val="0"/>
          <c:showVal val="1"/>
          <c:showCatName val="0"/>
          <c:showSerName val="0"/>
          <c:showPercent val="0"/>
          <c:showBubbleSize val="0"/>
        </c:dLbls>
        <c:gapWidth val="219"/>
        <c:axId val="1360215520"/>
        <c:axId val="1360200640"/>
      </c:barChart>
      <c:catAx>
        <c:axId val="1360215520"/>
        <c:scaling>
          <c:orientation val="minMax"/>
        </c:scaling>
        <c:delete val="0"/>
        <c:axPos val="b"/>
        <c:numFmt formatCode="General" sourceLinked="1"/>
        <c:majorTickMark val="none"/>
        <c:minorTickMark val="none"/>
        <c:tickLblPos val="nextTo"/>
        <c:spPr>
          <a:noFill/>
          <a:ln w="9525" cap="flat" cmpd="sng" algn="ctr">
            <a:solidFill>
              <a:srgbClr val="FFCA21"/>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0200640"/>
        <c:crosses val="autoZero"/>
        <c:auto val="1"/>
        <c:lblAlgn val="ctr"/>
        <c:lblOffset val="100"/>
        <c:noMultiLvlLbl val="0"/>
      </c:catAx>
      <c:valAx>
        <c:axId val="136020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021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000"/>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PORTFOLIO.xlsx]PAYMENT METHOD!PivotTable2</c:name>
    <c:fmtId val="3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PAYMENT</a:t>
            </a:r>
            <a:r>
              <a:rPr lang="en-US" sz="1200" baseline="0"/>
              <a:t> METHOD ANALYSIS</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r>
                  <a:rPr lang="en-US" b="1"/>
                  <a:t>6.5%</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r>
                  <a:rPr lang="en-US" b="1"/>
                  <a:t>24.0% </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b="1"/>
                  <a:t>67.0%</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r>
                  <a:rPr lang="en-US" b="1"/>
                  <a:t>6.5%</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b="1"/>
                  <a:t>24.0%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b="1"/>
                  <a:t>67.0%</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r>
                  <a:rPr lang="en-US" b="1"/>
                  <a:t>8.51%</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r>
                  <a:rPr lang="en-US" b="1"/>
                  <a:t>24.50%</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b="1"/>
                  <a:t>66.99%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doughnutChart>
        <c:varyColors val="1"/>
        <c:ser>
          <c:idx val="0"/>
          <c:order val="0"/>
          <c:tx>
            <c:strRef>
              <c:f>'PAYMENT METHOD'!$B$3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CFA-40A7-AEC9-2B796C3AF5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CFA-40A7-AEC9-2B796C3AF5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CFA-40A7-AEC9-2B796C3AF5DE}"/>
              </c:ext>
            </c:extLst>
          </c:dPt>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r>
                      <a:rPr lang="en-US" b="1"/>
                      <a:t>8.51%</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CFA-40A7-AEC9-2B796C3AF5DE}"/>
                </c:ext>
              </c:extLst>
            </c:dLbl>
            <c:dLbl>
              <c:idx val="1"/>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r>
                      <a:rPr lang="en-US" b="1"/>
                      <a:t>24.50%</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CFA-40A7-AEC9-2B796C3AF5DE}"/>
                </c:ext>
              </c:extLst>
            </c:dLbl>
            <c:dLbl>
              <c:idx val="2"/>
              <c:tx>
                <c:rich>
                  <a:bodyPr/>
                  <a:lstStyle/>
                  <a:p>
                    <a:r>
                      <a:rPr lang="en-US" b="1"/>
                      <a:t>66.99%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CFA-40A7-AEC9-2B796C3AF5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METHOD'!$A$4:$A$7</c:f>
              <c:strCache>
                <c:ptCount val="3"/>
                <c:pt idx="0">
                  <c:v>Cash</c:v>
                </c:pt>
                <c:pt idx="1">
                  <c:v>NetBanking</c:v>
                </c:pt>
                <c:pt idx="2">
                  <c:v>UPI</c:v>
                </c:pt>
              </c:strCache>
            </c:strRef>
          </c:cat>
          <c:val>
            <c:numRef>
              <c:f>'PAYMENT METHOD'!$B$4:$B$7</c:f>
              <c:numCache>
                <c:formatCode>0.00%</c:formatCode>
                <c:ptCount val="3"/>
                <c:pt idx="0">
                  <c:v>8.5107154951381159E-2</c:v>
                </c:pt>
                <c:pt idx="1">
                  <c:v>0.24502019737796912</c:v>
                </c:pt>
                <c:pt idx="2">
                  <c:v>0.66987264767064969</c:v>
                </c:pt>
              </c:numCache>
            </c:numRef>
          </c:val>
          <c:extLst>
            <c:ext xmlns:c16="http://schemas.microsoft.com/office/drawing/2014/chart" uri="{C3380CC4-5D6E-409C-BE32-E72D297353CC}">
              <c16:uniqueId val="{00000006-8CFA-40A7-AEC9-2B796C3AF5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solidFill>
            <a:srgbClr val="FFCA21"/>
          </a:solid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A21"/>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EXCEL PORTFOLIO.xlsx] SELL THROUGH RATE ANALYSIS!PivotTable2</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SELL</a:t>
            </a:r>
            <a:r>
              <a:rPr lang="en-IN" sz="1200" baseline="0"/>
              <a:t> THROUGH RATE ANALYSIS</a:t>
            </a:r>
            <a:endParaRPr lang="en-IN" sz="1200"/>
          </a:p>
        </c:rich>
      </c:tx>
      <c:layout>
        <c:manualLayout>
          <c:xMode val="edge"/>
          <c:yMode val="edge"/>
          <c:x val="0.35608301483004973"/>
          <c:y val="4.525257708081682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42450730053626E-2"/>
          <c:y val="0.19104177112957738"/>
          <c:w val="0.91701130180957979"/>
          <c:h val="0.29148692666607978"/>
        </c:manualLayout>
      </c:layout>
      <c:barChart>
        <c:barDir val="col"/>
        <c:grouping val="clustered"/>
        <c:varyColors val="0"/>
        <c:ser>
          <c:idx val="0"/>
          <c:order val="0"/>
          <c:tx>
            <c:strRef>
              <c:f>' SELL THROUGH RATE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SELL THROUGH RATE ANALYSIS'!$A$4:$A$27</c:f>
              <c:strCache>
                <c:ptCount val="23"/>
                <c:pt idx="0">
                  <c:v>Cotton-Kurti</c:v>
                </c:pt>
                <c:pt idx="1">
                  <c:v>Denim-Jacket</c:v>
                </c:pt>
                <c:pt idx="2">
                  <c:v>Floral-Dress</c:v>
                </c:pt>
                <c:pt idx="3">
                  <c:v>Blazer</c:v>
                </c:pt>
                <c:pt idx="4">
                  <c:v>Sweatshirt</c:v>
                </c:pt>
                <c:pt idx="5">
                  <c:v>Co-ordSet</c:v>
                </c:pt>
                <c:pt idx="6">
                  <c:v>OversizedT-Shirt</c:v>
                </c:pt>
                <c:pt idx="7">
                  <c:v>Saree</c:v>
                </c:pt>
                <c:pt idx="8">
                  <c:v>EthnicSet</c:v>
                </c:pt>
                <c:pt idx="9">
                  <c:v>CropTop</c:v>
                </c:pt>
                <c:pt idx="10">
                  <c:v>Hoodie</c:v>
                </c:pt>
                <c:pt idx="11">
                  <c:v>Jumbosuit</c:v>
                </c:pt>
                <c:pt idx="12">
                  <c:v>Maxi-Dress</c:v>
                </c:pt>
                <c:pt idx="13">
                  <c:v>Tracksuit</c:v>
                </c:pt>
                <c:pt idx="14">
                  <c:v>Denim-Shirt</c:v>
                </c:pt>
                <c:pt idx="15">
                  <c:v>CargoPants</c:v>
                </c:pt>
                <c:pt idx="16">
                  <c:v>Denim-Skirt</c:v>
                </c:pt>
                <c:pt idx="17">
                  <c:v>Kurti</c:v>
                </c:pt>
                <c:pt idx="18">
                  <c:v>PoloT-Shirt</c:v>
                </c:pt>
                <c:pt idx="19">
                  <c:v>Casual-Shirt</c:v>
                </c:pt>
                <c:pt idx="20">
                  <c:v>Palazzo-Pants</c:v>
                </c:pt>
                <c:pt idx="21">
                  <c:v>Jeans</c:v>
                </c:pt>
                <c:pt idx="22">
                  <c:v>FormalShirt</c:v>
                </c:pt>
              </c:strCache>
            </c:strRef>
          </c:cat>
          <c:val>
            <c:numRef>
              <c:f>' SELL THROUGH RATE ANALYSIS'!$B$4:$B$27</c:f>
              <c:numCache>
                <c:formatCode>0.00;[Red]0.00</c:formatCode>
                <c:ptCount val="23"/>
                <c:pt idx="0">
                  <c:v>60</c:v>
                </c:pt>
                <c:pt idx="1">
                  <c:v>60</c:v>
                </c:pt>
                <c:pt idx="2">
                  <c:v>60</c:v>
                </c:pt>
                <c:pt idx="3">
                  <c:v>55.55555555555555</c:v>
                </c:pt>
                <c:pt idx="4">
                  <c:v>52.5</c:v>
                </c:pt>
                <c:pt idx="5">
                  <c:v>47.321428571428569</c:v>
                </c:pt>
                <c:pt idx="6">
                  <c:v>44.833333333333329</c:v>
                </c:pt>
                <c:pt idx="7">
                  <c:v>41.111111111111107</c:v>
                </c:pt>
                <c:pt idx="8">
                  <c:v>39.523809523809518</c:v>
                </c:pt>
                <c:pt idx="9">
                  <c:v>37.057823129251695</c:v>
                </c:pt>
                <c:pt idx="10">
                  <c:v>32.156084656084651</c:v>
                </c:pt>
                <c:pt idx="11">
                  <c:v>31.845238095238091</c:v>
                </c:pt>
                <c:pt idx="12">
                  <c:v>31.547619047619044</c:v>
                </c:pt>
                <c:pt idx="13">
                  <c:v>31.322751322751319</c:v>
                </c:pt>
                <c:pt idx="14">
                  <c:v>30.158730158730155</c:v>
                </c:pt>
                <c:pt idx="15">
                  <c:v>29.478458049886619</c:v>
                </c:pt>
                <c:pt idx="16">
                  <c:v>26.190476190476186</c:v>
                </c:pt>
                <c:pt idx="17">
                  <c:v>25.757575757575754</c:v>
                </c:pt>
                <c:pt idx="18">
                  <c:v>25.396825396825392</c:v>
                </c:pt>
                <c:pt idx="19">
                  <c:v>24.761904761904759</c:v>
                </c:pt>
                <c:pt idx="20">
                  <c:v>24.671201814058954</c:v>
                </c:pt>
                <c:pt idx="21">
                  <c:v>24.208333333333332</c:v>
                </c:pt>
                <c:pt idx="22">
                  <c:v>21.726190476190467</c:v>
                </c:pt>
              </c:numCache>
            </c:numRef>
          </c:val>
          <c:extLst>
            <c:ext xmlns:c16="http://schemas.microsoft.com/office/drawing/2014/chart" uri="{C3380CC4-5D6E-409C-BE32-E72D297353CC}">
              <c16:uniqueId val="{00000000-6B37-497D-B7E5-63F9A73BBB66}"/>
            </c:ext>
          </c:extLst>
        </c:ser>
        <c:dLbls>
          <c:showLegendKey val="0"/>
          <c:showVal val="0"/>
          <c:showCatName val="0"/>
          <c:showSerName val="0"/>
          <c:showPercent val="0"/>
          <c:showBubbleSize val="0"/>
        </c:dLbls>
        <c:gapWidth val="100"/>
        <c:overlap val="-24"/>
        <c:axId val="571397792"/>
        <c:axId val="571398272"/>
      </c:barChart>
      <c:catAx>
        <c:axId val="571397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398272"/>
        <c:crosses val="autoZero"/>
        <c:auto val="1"/>
        <c:lblAlgn val="ctr"/>
        <c:lblOffset val="100"/>
        <c:noMultiLvlLbl val="0"/>
      </c:catAx>
      <c:valAx>
        <c:axId val="571398272"/>
        <c:scaling>
          <c:orientation val="minMax"/>
        </c:scaling>
        <c:delete val="0"/>
        <c:axPos val="l"/>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39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CA21"/>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news2gold.blogspot.com/2014/06/today-gold-prices-and-gold-investing.html" TargetMode="External"/><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07/relationships/hdphoto" Target="../media/hdphoto2.wdp"/><Relationship Id="rId1" Type="http://schemas.openxmlformats.org/officeDocument/2006/relationships/image" Target="../media/image6.png"/><Relationship Id="rId4" Type="http://schemas.openxmlformats.org/officeDocument/2006/relationships/image" Target="../media/image8.svg"/></Relationships>
</file>

<file path=xl/drawings/_rels/drawing4.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svg"/><Relationship Id="rId1" Type="http://schemas.openxmlformats.org/officeDocument/2006/relationships/image" Target="../media/image15.png"/><Relationship Id="rId5" Type="http://schemas.openxmlformats.org/officeDocument/2006/relationships/chart" Target="../charts/chart3.xml"/><Relationship Id="rId4" Type="http://schemas.openxmlformats.org/officeDocument/2006/relationships/image" Target="../media/image18.svg"/></Relationships>
</file>

<file path=xl/drawings/_rels/drawing9.xml.rels><?xml version="1.0" encoding="UTF-8" standalone="yes"?>
<Relationships xmlns="http://schemas.openxmlformats.org/package/2006/relationships"><Relationship Id="rId3" Type="http://schemas.openxmlformats.org/officeDocument/2006/relationships/image" Target="../media/image20.svg"/><Relationship Id="rId2" Type="http://schemas.openxmlformats.org/officeDocument/2006/relationships/image" Target="../media/image19.png"/><Relationship Id="rId1" Type="http://schemas.openxmlformats.org/officeDocument/2006/relationships/chart" Target="../charts/chart4.xml"/><Relationship Id="rId5" Type="http://schemas.openxmlformats.org/officeDocument/2006/relationships/image" Target="../media/image22.svg"/><Relationship Id="rId4"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4.svg"/><Relationship Id="rId1"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6.svg"/><Relationship Id="rId2" Type="http://schemas.openxmlformats.org/officeDocument/2006/relationships/image" Target="../media/image25.png"/><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28.svg"/><Relationship Id="rId1" Type="http://schemas.openxmlformats.org/officeDocument/2006/relationships/image" Target="../media/image27.png"/></Relationships>
</file>

<file path=xl/drawings/_rels/drawing13.xml.rels><?xml version="1.0" encoding="UTF-8" standalone="yes"?>
<Relationships xmlns="http://schemas.openxmlformats.org/package/2006/relationships"><Relationship Id="rId8" Type="http://schemas.openxmlformats.org/officeDocument/2006/relationships/image" Target="../media/image36.svg"/><Relationship Id="rId13" Type="http://schemas.openxmlformats.org/officeDocument/2006/relationships/image" Target="../media/image41.png"/><Relationship Id="rId18" Type="http://schemas.openxmlformats.org/officeDocument/2006/relationships/chart" Target="../charts/chart9.xml"/><Relationship Id="rId3" Type="http://schemas.openxmlformats.org/officeDocument/2006/relationships/image" Target="../media/image31.png"/><Relationship Id="rId21" Type="http://schemas.openxmlformats.org/officeDocument/2006/relationships/chart" Target="../charts/chart12.xml"/><Relationship Id="rId7" Type="http://schemas.openxmlformats.org/officeDocument/2006/relationships/image" Target="../media/image35.png"/><Relationship Id="rId12" Type="http://schemas.openxmlformats.org/officeDocument/2006/relationships/image" Target="../media/image40.svg"/><Relationship Id="rId17" Type="http://schemas.openxmlformats.org/officeDocument/2006/relationships/chart" Target="../charts/chart8.xml"/><Relationship Id="rId25" Type="http://schemas.openxmlformats.org/officeDocument/2006/relationships/image" Target="../media/image52.svg"/><Relationship Id="rId2" Type="http://schemas.openxmlformats.org/officeDocument/2006/relationships/image" Target="../media/image30.svg"/><Relationship Id="rId16" Type="http://schemas.openxmlformats.org/officeDocument/2006/relationships/image" Target="../media/image44.svg"/><Relationship Id="rId20" Type="http://schemas.openxmlformats.org/officeDocument/2006/relationships/chart" Target="../charts/chart11.xml"/><Relationship Id="rId1" Type="http://schemas.openxmlformats.org/officeDocument/2006/relationships/image" Target="../media/image29.png"/><Relationship Id="rId6" Type="http://schemas.openxmlformats.org/officeDocument/2006/relationships/image" Target="../media/image34.svg"/><Relationship Id="rId11" Type="http://schemas.openxmlformats.org/officeDocument/2006/relationships/image" Target="../media/image39.png"/><Relationship Id="rId24" Type="http://schemas.openxmlformats.org/officeDocument/2006/relationships/image" Target="../media/image51.png"/><Relationship Id="rId5" Type="http://schemas.openxmlformats.org/officeDocument/2006/relationships/image" Target="../media/image33.png"/><Relationship Id="rId15" Type="http://schemas.openxmlformats.org/officeDocument/2006/relationships/image" Target="../media/image43.png"/><Relationship Id="rId23" Type="http://schemas.openxmlformats.org/officeDocument/2006/relationships/chart" Target="../charts/chart14.xml"/><Relationship Id="rId10" Type="http://schemas.openxmlformats.org/officeDocument/2006/relationships/image" Target="../media/image38.svg"/><Relationship Id="rId19" Type="http://schemas.openxmlformats.org/officeDocument/2006/relationships/chart" Target="../charts/chart10.xml"/><Relationship Id="rId4" Type="http://schemas.openxmlformats.org/officeDocument/2006/relationships/image" Target="../media/image32.svg"/><Relationship Id="rId9" Type="http://schemas.openxmlformats.org/officeDocument/2006/relationships/image" Target="../media/image37.png"/><Relationship Id="rId14" Type="http://schemas.openxmlformats.org/officeDocument/2006/relationships/image" Target="../media/image42.svg"/><Relationship Id="rId22"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2" Type="http://schemas.openxmlformats.org/officeDocument/2006/relationships/image" Target="../media/image34.svg"/><Relationship Id="rId1" Type="http://schemas.openxmlformats.org/officeDocument/2006/relationships/image" Target="../media/image3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6.svg"/><Relationship Id="rId1" Type="http://schemas.openxmlformats.org/officeDocument/2006/relationships/image" Target="../media/image4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8.svg"/><Relationship Id="rId1" Type="http://schemas.openxmlformats.org/officeDocument/2006/relationships/image" Target="../media/image3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0.svg"/><Relationship Id="rId1" Type="http://schemas.openxmlformats.org/officeDocument/2006/relationships/image" Target="../media/image3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8.svg"/><Relationship Id="rId1" Type="http://schemas.openxmlformats.org/officeDocument/2006/relationships/image" Target="../media/image47.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0.svg"/><Relationship Id="rId1"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dr:twoCellAnchor>
    <xdr:from>
      <xdr:col>0</xdr:col>
      <xdr:colOff>289560</xdr:colOff>
      <xdr:row>1</xdr:row>
      <xdr:rowOff>152400</xdr:rowOff>
    </xdr:from>
    <xdr:to>
      <xdr:col>1</xdr:col>
      <xdr:colOff>495300</xdr:colOff>
      <xdr:row>1</xdr:row>
      <xdr:rowOff>160020</xdr:rowOff>
    </xdr:to>
    <xdr:cxnSp macro="">
      <xdr:nvCxnSpPr>
        <xdr:cNvPr id="8" name="Straight Connector 7">
          <a:extLst>
            <a:ext uri="{FF2B5EF4-FFF2-40B4-BE49-F238E27FC236}">
              <a16:creationId xmlns:a16="http://schemas.microsoft.com/office/drawing/2014/main" id="{F47181F1-CE4D-9847-5379-6ED7714F26BE}"/>
            </a:ext>
          </a:extLst>
        </xdr:cNvPr>
        <xdr:cNvCxnSpPr/>
      </xdr:nvCxnSpPr>
      <xdr:spPr>
        <a:xfrm flipV="1">
          <a:off x="289560" y="342900"/>
          <a:ext cx="815340" cy="762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281940</xdr:colOff>
      <xdr:row>1</xdr:row>
      <xdr:rowOff>152400</xdr:rowOff>
    </xdr:from>
    <xdr:to>
      <xdr:col>0</xdr:col>
      <xdr:colOff>289560</xdr:colOff>
      <xdr:row>6</xdr:row>
      <xdr:rowOff>83820</xdr:rowOff>
    </xdr:to>
    <xdr:cxnSp macro="">
      <xdr:nvCxnSpPr>
        <xdr:cNvPr id="10" name="Straight Connector 9">
          <a:extLst>
            <a:ext uri="{FF2B5EF4-FFF2-40B4-BE49-F238E27FC236}">
              <a16:creationId xmlns:a16="http://schemas.microsoft.com/office/drawing/2014/main" id="{6048C9AE-D56D-D04A-D1C4-DC349E3FE092}"/>
            </a:ext>
          </a:extLst>
        </xdr:cNvPr>
        <xdr:cNvCxnSpPr/>
      </xdr:nvCxnSpPr>
      <xdr:spPr>
        <a:xfrm flipH="1">
          <a:off x="281940" y="342900"/>
          <a:ext cx="7620" cy="85344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7620</xdr:colOff>
      <xdr:row>0</xdr:row>
      <xdr:rowOff>0</xdr:rowOff>
    </xdr:from>
    <xdr:to>
      <xdr:col>0</xdr:col>
      <xdr:colOff>160020</xdr:colOff>
      <xdr:row>30</xdr:row>
      <xdr:rowOff>30480</xdr:rowOff>
    </xdr:to>
    <xdr:sp macro="" textlink="">
      <xdr:nvSpPr>
        <xdr:cNvPr id="13" name="Rectangle 12">
          <a:extLst>
            <a:ext uri="{FF2B5EF4-FFF2-40B4-BE49-F238E27FC236}">
              <a16:creationId xmlns:a16="http://schemas.microsoft.com/office/drawing/2014/main" id="{0B8E57C8-86CB-A0E1-91BD-926CC1755171}"/>
            </a:ext>
          </a:extLst>
        </xdr:cNvPr>
        <xdr:cNvSpPr/>
      </xdr:nvSpPr>
      <xdr:spPr>
        <a:xfrm>
          <a:off x="7620" y="0"/>
          <a:ext cx="152400" cy="8465820"/>
        </a:xfrm>
        <a:prstGeom prst="rect">
          <a:avLst/>
        </a:prstGeom>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solidFill>
            <a:schemeClr val="tx1"/>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586740</xdr:colOff>
      <xdr:row>1</xdr:row>
      <xdr:rowOff>0</xdr:rowOff>
    </xdr:from>
    <xdr:to>
      <xdr:col>24</xdr:col>
      <xdr:colOff>30480</xdr:colOff>
      <xdr:row>1</xdr:row>
      <xdr:rowOff>22860</xdr:rowOff>
    </xdr:to>
    <xdr:cxnSp macro="">
      <xdr:nvCxnSpPr>
        <xdr:cNvPr id="5" name="Straight Connector 4">
          <a:extLst>
            <a:ext uri="{FF2B5EF4-FFF2-40B4-BE49-F238E27FC236}">
              <a16:creationId xmlns:a16="http://schemas.microsoft.com/office/drawing/2014/main" id="{0207A81D-B7E4-45E3-51A4-5D1F674C2698}"/>
            </a:ext>
          </a:extLst>
        </xdr:cNvPr>
        <xdr:cNvCxnSpPr/>
      </xdr:nvCxnSpPr>
      <xdr:spPr>
        <a:xfrm>
          <a:off x="7924800" y="190500"/>
          <a:ext cx="6758940" cy="2286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236220</xdr:colOff>
      <xdr:row>7</xdr:row>
      <xdr:rowOff>640080</xdr:rowOff>
    </xdr:from>
    <xdr:ext cx="4945380" cy="1342675"/>
    <xdr:sp macro="" textlink="">
      <xdr:nvSpPr>
        <xdr:cNvPr id="6" name="Rectangle 5">
          <a:extLst>
            <a:ext uri="{FF2B5EF4-FFF2-40B4-BE49-F238E27FC236}">
              <a16:creationId xmlns:a16="http://schemas.microsoft.com/office/drawing/2014/main" id="{E45EC6FD-074E-DB35-6F72-2CDE71DD8BF1}"/>
            </a:ext>
          </a:extLst>
        </xdr:cNvPr>
        <xdr:cNvSpPr/>
      </xdr:nvSpPr>
      <xdr:spPr>
        <a:xfrm>
          <a:off x="236220" y="3337560"/>
          <a:ext cx="4945380" cy="1342675"/>
        </a:xfrm>
        <a:prstGeom prst="rect">
          <a:avLst/>
        </a:prstGeom>
        <a:noFill/>
        <a:ln>
          <a:noFill/>
        </a:ln>
      </xdr:spPr>
      <xdr:txBody>
        <a:bodyPr wrap="square" lIns="91440" tIns="45720" rIns="91440" bIns="45720">
          <a:spAutoFit/>
        </a:bodyPr>
        <a:lstStyle/>
        <a:p>
          <a:pPr algn="ctr"/>
          <a:r>
            <a:rPr lang="en-US" sz="7500" b="1" cap="none" spc="0">
              <a:ln w="9525">
                <a:solidFill>
                  <a:schemeClr val="bg1">
                    <a:lumMod val="65000"/>
                  </a:schemeClr>
                </a:solidFill>
                <a:prstDash val="solid"/>
              </a:ln>
              <a:solidFill>
                <a:schemeClr val="tx1"/>
              </a:solidFill>
              <a:effectLst>
                <a:outerShdw blurRad="12700" dist="38100" dir="2700000" algn="tl" rotWithShape="0">
                  <a:schemeClr val="bg1">
                    <a:lumMod val="50000"/>
                  </a:schemeClr>
                </a:outerShdw>
              </a:effectLst>
              <a:latin typeface="Bebas Neue" panose="020B0606020202050201" pitchFamily="34" charset="0"/>
            </a:rPr>
            <a:t>PERFORMANCE</a:t>
          </a:r>
          <a:endParaRPr lang="en-US" sz="7500" b="1" cap="none" spc="50">
            <a:ln w="9525">
              <a:solidFill>
                <a:schemeClr val="bg1">
                  <a:lumMod val="65000"/>
                </a:schemeClr>
              </a:solidFill>
              <a:prstDash val="solid"/>
            </a:ln>
            <a:solidFill>
              <a:srgbClr val="70AD47">
                <a:tint val="1000"/>
              </a:srgbClr>
            </a:solidFill>
            <a:effectLst>
              <a:glow rad="38100">
                <a:schemeClr val="accent1">
                  <a:alpha val="40000"/>
                </a:schemeClr>
              </a:glow>
            </a:effectLst>
            <a:latin typeface="Bebas Neue" panose="020B0606020202050201" pitchFamily="34" charset="0"/>
          </a:endParaRPr>
        </a:p>
      </xdr:txBody>
    </xdr:sp>
    <xdr:clientData/>
  </xdr:oneCellAnchor>
  <xdr:twoCellAnchor>
    <xdr:from>
      <xdr:col>0</xdr:col>
      <xdr:colOff>464820</xdr:colOff>
      <xdr:row>5</xdr:row>
      <xdr:rowOff>152400</xdr:rowOff>
    </xdr:from>
    <xdr:to>
      <xdr:col>1</xdr:col>
      <xdr:colOff>533400</xdr:colOff>
      <xdr:row>5</xdr:row>
      <xdr:rowOff>152400</xdr:rowOff>
    </xdr:to>
    <xdr:cxnSp macro="">
      <xdr:nvCxnSpPr>
        <xdr:cNvPr id="9" name="Straight Connector 8">
          <a:extLst>
            <a:ext uri="{FF2B5EF4-FFF2-40B4-BE49-F238E27FC236}">
              <a16:creationId xmlns:a16="http://schemas.microsoft.com/office/drawing/2014/main" id="{35DB164E-F57C-4E73-F5B7-E8949B15402B}"/>
            </a:ext>
          </a:extLst>
        </xdr:cNvPr>
        <xdr:cNvCxnSpPr/>
      </xdr:nvCxnSpPr>
      <xdr:spPr>
        <a:xfrm>
          <a:off x="464820" y="1325880"/>
          <a:ext cx="678180" cy="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579120</xdr:colOff>
      <xdr:row>15</xdr:row>
      <xdr:rowOff>7620</xdr:rowOff>
    </xdr:from>
    <xdr:to>
      <xdr:col>24</xdr:col>
      <xdr:colOff>175260</xdr:colOff>
      <xdr:row>15</xdr:row>
      <xdr:rowOff>76200</xdr:rowOff>
    </xdr:to>
    <xdr:cxnSp macro="">
      <xdr:nvCxnSpPr>
        <xdr:cNvPr id="16" name="Straight Connector 15">
          <a:extLst>
            <a:ext uri="{FF2B5EF4-FFF2-40B4-BE49-F238E27FC236}">
              <a16:creationId xmlns:a16="http://schemas.microsoft.com/office/drawing/2014/main" id="{BEA16855-7EF9-67CA-8C4E-74DC9CCAD0BA}"/>
            </a:ext>
          </a:extLst>
        </xdr:cNvPr>
        <xdr:cNvCxnSpPr/>
      </xdr:nvCxnSpPr>
      <xdr:spPr>
        <a:xfrm>
          <a:off x="6355080" y="4899660"/>
          <a:ext cx="7886700" cy="6858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563880</xdr:colOff>
      <xdr:row>16</xdr:row>
      <xdr:rowOff>175260</xdr:rowOff>
    </xdr:from>
    <xdr:to>
      <xdr:col>24</xdr:col>
      <xdr:colOff>205740</xdr:colOff>
      <xdr:row>17</xdr:row>
      <xdr:rowOff>0</xdr:rowOff>
    </xdr:to>
    <xdr:cxnSp macro="">
      <xdr:nvCxnSpPr>
        <xdr:cNvPr id="22" name="Straight Connector 21">
          <a:extLst>
            <a:ext uri="{FF2B5EF4-FFF2-40B4-BE49-F238E27FC236}">
              <a16:creationId xmlns:a16="http://schemas.microsoft.com/office/drawing/2014/main" id="{68FEFE21-3F26-4FBA-FAC7-CF7686EE0499}"/>
            </a:ext>
          </a:extLst>
        </xdr:cNvPr>
        <xdr:cNvCxnSpPr/>
      </xdr:nvCxnSpPr>
      <xdr:spPr>
        <a:xfrm flipV="1">
          <a:off x="11216640" y="5494020"/>
          <a:ext cx="3025140" cy="1524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167640</xdr:colOff>
      <xdr:row>15</xdr:row>
      <xdr:rowOff>137160</xdr:rowOff>
    </xdr:from>
    <xdr:to>
      <xdr:col>5</xdr:col>
      <xdr:colOff>167640</xdr:colOff>
      <xdr:row>16</xdr:row>
      <xdr:rowOff>53340</xdr:rowOff>
    </xdr:to>
    <xdr:cxnSp macro="">
      <xdr:nvCxnSpPr>
        <xdr:cNvPr id="23" name="Straight Connector 22">
          <a:extLst>
            <a:ext uri="{FF2B5EF4-FFF2-40B4-BE49-F238E27FC236}">
              <a16:creationId xmlns:a16="http://schemas.microsoft.com/office/drawing/2014/main" id="{FF187566-3790-21F8-52AF-B6387E11630B}"/>
            </a:ext>
          </a:extLst>
        </xdr:cNvPr>
        <xdr:cNvCxnSpPr/>
      </xdr:nvCxnSpPr>
      <xdr:spPr>
        <a:xfrm flipV="1">
          <a:off x="2895600" y="5029200"/>
          <a:ext cx="0" cy="34290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350520</xdr:colOff>
      <xdr:row>14</xdr:row>
      <xdr:rowOff>182880</xdr:rowOff>
    </xdr:from>
    <xdr:to>
      <xdr:col>0</xdr:col>
      <xdr:colOff>373380</xdr:colOff>
      <xdr:row>16</xdr:row>
      <xdr:rowOff>99060</xdr:rowOff>
    </xdr:to>
    <xdr:cxnSp macro="">
      <xdr:nvCxnSpPr>
        <xdr:cNvPr id="3" name="Straight Connector 2">
          <a:extLst>
            <a:ext uri="{FF2B5EF4-FFF2-40B4-BE49-F238E27FC236}">
              <a16:creationId xmlns:a16="http://schemas.microsoft.com/office/drawing/2014/main" id="{472D667B-E7AE-F540-891C-CEA7F5C703A3}"/>
            </a:ext>
          </a:extLst>
        </xdr:cNvPr>
        <xdr:cNvCxnSpPr/>
      </xdr:nvCxnSpPr>
      <xdr:spPr>
        <a:xfrm flipH="1">
          <a:off x="350520" y="4747260"/>
          <a:ext cx="22860" cy="85344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358140</xdr:colOff>
      <xdr:row>16</xdr:row>
      <xdr:rowOff>106680</xdr:rowOff>
    </xdr:from>
    <xdr:to>
      <xdr:col>2</xdr:col>
      <xdr:colOff>76200</xdr:colOff>
      <xdr:row>16</xdr:row>
      <xdr:rowOff>106680</xdr:rowOff>
    </xdr:to>
    <xdr:cxnSp macro="">
      <xdr:nvCxnSpPr>
        <xdr:cNvPr id="11" name="Straight Connector 10">
          <a:extLst>
            <a:ext uri="{FF2B5EF4-FFF2-40B4-BE49-F238E27FC236}">
              <a16:creationId xmlns:a16="http://schemas.microsoft.com/office/drawing/2014/main" id="{125E4CA1-73A4-207A-BDD8-B44B768910EC}"/>
            </a:ext>
          </a:extLst>
        </xdr:cNvPr>
        <xdr:cNvCxnSpPr/>
      </xdr:nvCxnSpPr>
      <xdr:spPr>
        <a:xfrm>
          <a:off x="358140" y="5608320"/>
          <a:ext cx="937260" cy="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7620</xdr:colOff>
      <xdr:row>17</xdr:row>
      <xdr:rowOff>7620</xdr:rowOff>
    </xdr:from>
    <xdr:to>
      <xdr:col>11</xdr:col>
      <xdr:colOff>601980</xdr:colOff>
      <xdr:row>17</xdr:row>
      <xdr:rowOff>15240</xdr:rowOff>
    </xdr:to>
    <xdr:cxnSp macro="">
      <xdr:nvCxnSpPr>
        <xdr:cNvPr id="31" name="Straight Connector 30">
          <a:extLst>
            <a:ext uri="{FF2B5EF4-FFF2-40B4-BE49-F238E27FC236}">
              <a16:creationId xmlns:a16="http://schemas.microsoft.com/office/drawing/2014/main" id="{EA5F0E89-416C-A66B-4733-F3FCD934A0B7}"/>
            </a:ext>
          </a:extLst>
        </xdr:cNvPr>
        <xdr:cNvCxnSpPr/>
      </xdr:nvCxnSpPr>
      <xdr:spPr>
        <a:xfrm flipH="1">
          <a:off x="1493520" y="5775960"/>
          <a:ext cx="5494020" cy="762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548640</xdr:colOff>
      <xdr:row>15</xdr:row>
      <xdr:rowOff>129540</xdr:rowOff>
    </xdr:from>
    <xdr:to>
      <xdr:col>9</xdr:col>
      <xdr:colOff>548640</xdr:colOff>
      <xdr:row>16</xdr:row>
      <xdr:rowOff>45720</xdr:rowOff>
    </xdr:to>
    <xdr:cxnSp macro="">
      <xdr:nvCxnSpPr>
        <xdr:cNvPr id="36" name="Straight Connector 35">
          <a:extLst>
            <a:ext uri="{FF2B5EF4-FFF2-40B4-BE49-F238E27FC236}">
              <a16:creationId xmlns:a16="http://schemas.microsoft.com/office/drawing/2014/main" id="{F0613432-A935-46DC-8B7D-489C7A3A2F56}"/>
            </a:ext>
          </a:extLst>
        </xdr:cNvPr>
        <xdr:cNvCxnSpPr/>
      </xdr:nvCxnSpPr>
      <xdr:spPr>
        <a:xfrm flipV="1">
          <a:off x="5715000" y="5021580"/>
          <a:ext cx="0" cy="34290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144780</xdr:colOff>
      <xdr:row>15</xdr:row>
      <xdr:rowOff>114300</xdr:rowOff>
    </xdr:from>
    <xdr:to>
      <xdr:col>14</xdr:col>
      <xdr:colOff>144780</xdr:colOff>
      <xdr:row>16</xdr:row>
      <xdr:rowOff>30480</xdr:rowOff>
    </xdr:to>
    <xdr:cxnSp macro="">
      <xdr:nvCxnSpPr>
        <xdr:cNvPr id="37" name="Straight Connector 36">
          <a:extLst>
            <a:ext uri="{FF2B5EF4-FFF2-40B4-BE49-F238E27FC236}">
              <a16:creationId xmlns:a16="http://schemas.microsoft.com/office/drawing/2014/main" id="{212131A0-7284-4FCA-8161-47C0E952EDD2}"/>
            </a:ext>
          </a:extLst>
        </xdr:cNvPr>
        <xdr:cNvCxnSpPr/>
      </xdr:nvCxnSpPr>
      <xdr:spPr>
        <a:xfrm flipV="1">
          <a:off x="8359140" y="5006340"/>
          <a:ext cx="0" cy="34290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1</xdr:row>
      <xdr:rowOff>0</xdr:rowOff>
    </xdr:from>
    <xdr:to>
      <xdr:col>19</xdr:col>
      <xdr:colOff>0</xdr:colOff>
      <xdr:row>1</xdr:row>
      <xdr:rowOff>342900</xdr:rowOff>
    </xdr:to>
    <xdr:cxnSp macro="">
      <xdr:nvCxnSpPr>
        <xdr:cNvPr id="38" name="Straight Connector 37">
          <a:extLst>
            <a:ext uri="{FF2B5EF4-FFF2-40B4-BE49-F238E27FC236}">
              <a16:creationId xmlns:a16="http://schemas.microsoft.com/office/drawing/2014/main" id="{6EB6EB7C-D17E-470B-9AB9-57241591AFBE}"/>
            </a:ext>
          </a:extLst>
        </xdr:cNvPr>
        <xdr:cNvCxnSpPr/>
      </xdr:nvCxnSpPr>
      <xdr:spPr>
        <a:xfrm flipV="1">
          <a:off x="11224260" y="190500"/>
          <a:ext cx="0" cy="34290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2804160</xdr:colOff>
      <xdr:row>1</xdr:row>
      <xdr:rowOff>53340</xdr:rowOff>
    </xdr:from>
    <xdr:to>
      <xdr:col>24</xdr:col>
      <xdr:colOff>7620</xdr:colOff>
      <xdr:row>3</xdr:row>
      <xdr:rowOff>7620</xdr:rowOff>
    </xdr:to>
    <xdr:cxnSp macro="">
      <xdr:nvCxnSpPr>
        <xdr:cNvPr id="39" name="Straight Connector 38">
          <a:extLst>
            <a:ext uri="{FF2B5EF4-FFF2-40B4-BE49-F238E27FC236}">
              <a16:creationId xmlns:a16="http://schemas.microsoft.com/office/drawing/2014/main" id="{AD52DCEB-52DA-4272-B61D-0B0E5093B0A2}"/>
            </a:ext>
          </a:extLst>
        </xdr:cNvPr>
        <xdr:cNvCxnSpPr/>
      </xdr:nvCxnSpPr>
      <xdr:spPr>
        <a:xfrm flipH="1" flipV="1">
          <a:off x="14028420" y="243840"/>
          <a:ext cx="15240" cy="56388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2781300</xdr:colOff>
      <xdr:row>0</xdr:row>
      <xdr:rowOff>7620</xdr:rowOff>
    </xdr:from>
    <xdr:to>
      <xdr:col>24</xdr:col>
      <xdr:colOff>114300</xdr:colOff>
      <xdr:row>35</xdr:row>
      <xdr:rowOff>114300</xdr:rowOff>
    </xdr:to>
    <xdr:sp macro="" textlink="">
      <xdr:nvSpPr>
        <xdr:cNvPr id="41" name="Rectangle 40">
          <a:extLst>
            <a:ext uri="{FF2B5EF4-FFF2-40B4-BE49-F238E27FC236}">
              <a16:creationId xmlns:a16="http://schemas.microsoft.com/office/drawing/2014/main" id="{2E2E5765-E5E2-4BA8-B80D-6FAFC41F722C}"/>
            </a:ext>
          </a:extLst>
        </xdr:cNvPr>
        <xdr:cNvSpPr/>
      </xdr:nvSpPr>
      <xdr:spPr>
        <a:xfrm>
          <a:off x="14005560" y="7620"/>
          <a:ext cx="144780" cy="8907780"/>
        </a:xfrm>
        <a:prstGeom prst="rect">
          <a:avLst/>
        </a:prstGeom>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solidFill>
            <a:schemeClr val="tx1"/>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167640</xdr:colOff>
      <xdr:row>15</xdr:row>
      <xdr:rowOff>144780</xdr:rowOff>
    </xdr:from>
    <xdr:to>
      <xdr:col>18</xdr:col>
      <xdr:colOff>167640</xdr:colOff>
      <xdr:row>16</xdr:row>
      <xdr:rowOff>60960</xdr:rowOff>
    </xdr:to>
    <xdr:cxnSp macro="">
      <xdr:nvCxnSpPr>
        <xdr:cNvPr id="46" name="Straight Connector 45">
          <a:extLst>
            <a:ext uri="{FF2B5EF4-FFF2-40B4-BE49-F238E27FC236}">
              <a16:creationId xmlns:a16="http://schemas.microsoft.com/office/drawing/2014/main" id="{8A305247-B8D3-480F-82DC-D4FF5ABFF629}"/>
            </a:ext>
          </a:extLst>
        </xdr:cNvPr>
        <xdr:cNvCxnSpPr/>
      </xdr:nvCxnSpPr>
      <xdr:spPr>
        <a:xfrm flipV="1">
          <a:off x="11132820" y="5036820"/>
          <a:ext cx="0" cy="34290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2080260</xdr:colOff>
      <xdr:row>14</xdr:row>
      <xdr:rowOff>38100</xdr:rowOff>
    </xdr:from>
    <xdr:to>
      <xdr:col>23</xdr:col>
      <xdr:colOff>2095500</xdr:colOff>
      <xdr:row>15</xdr:row>
      <xdr:rowOff>358140</xdr:rowOff>
    </xdr:to>
    <xdr:cxnSp macro="">
      <xdr:nvCxnSpPr>
        <xdr:cNvPr id="48" name="Straight Connector 47">
          <a:extLst>
            <a:ext uri="{FF2B5EF4-FFF2-40B4-BE49-F238E27FC236}">
              <a16:creationId xmlns:a16="http://schemas.microsoft.com/office/drawing/2014/main" id="{CA1C7A14-D129-4C55-8602-C23EA601FFEA}"/>
            </a:ext>
          </a:extLst>
        </xdr:cNvPr>
        <xdr:cNvCxnSpPr/>
      </xdr:nvCxnSpPr>
      <xdr:spPr>
        <a:xfrm>
          <a:off x="13616940" y="4602480"/>
          <a:ext cx="15240" cy="64770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1173480</xdr:colOff>
      <xdr:row>15</xdr:row>
      <xdr:rowOff>342900</xdr:rowOff>
    </xdr:from>
    <xdr:to>
      <xdr:col>23</xdr:col>
      <xdr:colOff>2110740</xdr:colOff>
      <xdr:row>15</xdr:row>
      <xdr:rowOff>342900</xdr:rowOff>
    </xdr:to>
    <xdr:cxnSp macro="">
      <xdr:nvCxnSpPr>
        <xdr:cNvPr id="50" name="Straight Connector 49">
          <a:extLst>
            <a:ext uri="{FF2B5EF4-FFF2-40B4-BE49-F238E27FC236}">
              <a16:creationId xmlns:a16="http://schemas.microsoft.com/office/drawing/2014/main" id="{4B47B2DE-D770-469B-8F8F-D145D21683C3}"/>
            </a:ext>
          </a:extLst>
        </xdr:cNvPr>
        <xdr:cNvCxnSpPr/>
      </xdr:nvCxnSpPr>
      <xdr:spPr>
        <a:xfrm>
          <a:off x="12710160" y="5234940"/>
          <a:ext cx="937260" cy="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1554480</xdr:colOff>
      <xdr:row>1</xdr:row>
      <xdr:rowOff>213360</xdr:rowOff>
    </xdr:from>
    <xdr:to>
      <xdr:col>23</xdr:col>
      <xdr:colOff>2346960</xdr:colOff>
      <xdr:row>1</xdr:row>
      <xdr:rowOff>220980</xdr:rowOff>
    </xdr:to>
    <xdr:cxnSp macro="">
      <xdr:nvCxnSpPr>
        <xdr:cNvPr id="53" name="Straight Connector 52">
          <a:extLst>
            <a:ext uri="{FF2B5EF4-FFF2-40B4-BE49-F238E27FC236}">
              <a16:creationId xmlns:a16="http://schemas.microsoft.com/office/drawing/2014/main" id="{5E94F470-379B-4039-B6CA-69E12D7F8448}"/>
            </a:ext>
          </a:extLst>
        </xdr:cNvPr>
        <xdr:cNvCxnSpPr/>
      </xdr:nvCxnSpPr>
      <xdr:spPr>
        <a:xfrm>
          <a:off x="13091160" y="403860"/>
          <a:ext cx="792480" cy="762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2331720</xdr:colOff>
      <xdr:row>1</xdr:row>
      <xdr:rowOff>220980</xdr:rowOff>
    </xdr:from>
    <xdr:to>
      <xdr:col>23</xdr:col>
      <xdr:colOff>2339340</xdr:colOff>
      <xdr:row>6</xdr:row>
      <xdr:rowOff>152400</xdr:rowOff>
    </xdr:to>
    <xdr:cxnSp macro="">
      <xdr:nvCxnSpPr>
        <xdr:cNvPr id="54" name="Straight Connector 53">
          <a:extLst>
            <a:ext uri="{FF2B5EF4-FFF2-40B4-BE49-F238E27FC236}">
              <a16:creationId xmlns:a16="http://schemas.microsoft.com/office/drawing/2014/main" id="{D4C173F0-6506-462F-86DD-A69131C1F277}"/>
            </a:ext>
          </a:extLst>
        </xdr:cNvPr>
        <xdr:cNvCxnSpPr/>
      </xdr:nvCxnSpPr>
      <xdr:spPr>
        <a:xfrm flipH="1">
          <a:off x="13868400" y="411480"/>
          <a:ext cx="7620" cy="118872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937260</xdr:colOff>
      <xdr:row>1</xdr:row>
      <xdr:rowOff>137160</xdr:rowOff>
    </xdr:from>
    <xdr:to>
      <xdr:col>23</xdr:col>
      <xdr:colOff>1104900</xdr:colOff>
      <xdr:row>1</xdr:row>
      <xdr:rowOff>297180</xdr:rowOff>
    </xdr:to>
    <xdr:sp macro="" textlink="">
      <xdr:nvSpPr>
        <xdr:cNvPr id="61" name="Oval 60">
          <a:extLst>
            <a:ext uri="{FF2B5EF4-FFF2-40B4-BE49-F238E27FC236}">
              <a16:creationId xmlns:a16="http://schemas.microsoft.com/office/drawing/2014/main" id="{7BB9CCDA-86F4-9818-1FD4-AD0443B62937}"/>
            </a:ext>
          </a:extLst>
        </xdr:cNvPr>
        <xdr:cNvSpPr/>
      </xdr:nvSpPr>
      <xdr:spPr>
        <a:xfrm>
          <a:off x="12473940" y="327660"/>
          <a:ext cx="167640" cy="160020"/>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1158240</xdr:colOff>
      <xdr:row>1</xdr:row>
      <xdr:rowOff>137160</xdr:rowOff>
    </xdr:from>
    <xdr:to>
      <xdr:col>23</xdr:col>
      <xdr:colOff>1325880</xdr:colOff>
      <xdr:row>1</xdr:row>
      <xdr:rowOff>297180</xdr:rowOff>
    </xdr:to>
    <xdr:sp macro="" textlink="">
      <xdr:nvSpPr>
        <xdr:cNvPr id="62" name="Oval 61">
          <a:extLst>
            <a:ext uri="{FF2B5EF4-FFF2-40B4-BE49-F238E27FC236}">
              <a16:creationId xmlns:a16="http://schemas.microsoft.com/office/drawing/2014/main" id="{F9A997BC-B67D-4393-8763-AE8DE6E11CAC}"/>
            </a:ext>
          </a:extLst>
        </xdr:cNvPr>
        <xdr:cNvSpPr/>
      </xdr:nvSpPr>
      <xdr:spPr>
        <a:xfrm>
          <a:off x="12694920" y="327660"/>
          <a:ext cx="167640" cy="16002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1371600</xdr:colOff>
      <xdr:row>1</xdr:row>
      <xdr:rowOff>129540</xdr:rowOff>
    </xdr:from>
    <xdr:to>
      <xdr:col>23</xdr:col>
      <xdr:colOff>1539240</xdr:colOff>
      <xdr:row>1</xdr:row>
      <xdr:rowOff>289560</xdr:rowOff>
    </xdr:to>
    <xdr:sp macro="" textlink="">
      <xdr:nvSpPr>
        <xdr:cNvPr id="63" name="Oval 62">
          <a:extLst>
            <a:ext uri="{FF2B5EF4-FFF2-40B4-BE49-F238E27FC236}">
              <a16:creationId xmlns:a16="http://schemas.microsoft.com/office/drawing/2014/main" id="{B77B6A39-DE26-4BAB-B03E-ADC5DB816892}"/>
            </a:ext>
          </a:extLst>
        </xdr:cNvPr>
        <xdr:cNvSpPr/>
      </xdr:nvSpPr>
      <xdr:spPr>
        <a:xfrm>
          <a:off x="12908280" y="320040"/>
          <a:ext cx="167640" cy="160020"/>
        </a:xfrm>
        <a:prstGeom prst="ellipse">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392426</xdr:colOff>
      <xdr:row>0</xdr:row>
      <xdr:rowOff>137160</xdr:rowOff>
    </xdr:from>
    <xdr:to>
      <xdr:col>17</xdr:col>
      <xdr:colOff>274320</xdr:colOff>
      <xdr:row>3</xdr:row>
      <xdr:rowOff>160020</xdr:rowOff>
    </xdr:to>
    <xdr:pic>
      <xdr:nvPicPr>
        <xdr:cNvPr id="4" name="Picture 3">
          <a:extLst>
            <a:ext uri="{FF2B5EF4-FFF2-40B4-BE49-F238E27FC236}">
              <a16:creationId xmlns:a16="http://schemas.microsoft.com/office/drawing/2014/main" id="{E8A1BD2F-AED5-D9FB-0294-D6C6A67A6E5F}"/>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8919206" y="137160"/>
          <a:ext cx="1710694" cy="647700"/>
        </a:xfrm>
        <a:prstGeom prst="rect">
          <a:avLst/>
        </a:prstGeom>
        <a:ln>
          <a:noFill/>
        </a:ln>
        <a:effectLst>
          <a:softEdge rad="112500"/>
        </a:effectLst>
      </xdr:spPr>
    </xdr:pic>
    <xdr:clientData/>
  </xdr:twoCellAnchor>
  <xdr:oneCellAnchor>
    <xdr:from>
      <xdr:col>15</xdr:col>
      <xdr:colOff>0</xdr:colOff>
      <xdr:row>7</xdr:row>
      <xdr:rowOff>455295</xdr:rowOff>
    </xdr:from>
    <xdr:ext cx="4286250" cy="233205"/>
    <xdr:sp macro="" textlink="">
      <xdr:nvSpPr>
        <xdr:cNvPr id="7" name="TextBox 6">
          <a:extLst>
            <a:ext uri="{FF2B5EF4-FFF2-40B4-BE49-F238E27FC236}">
              <a16:creationId xmlns:a16="http://schemas.microsoft.com/office/drawing/2014/main" id="{F1593721-7915-74A5-C508-BC90CFA2BEB3}"/>
            </a:ext>
          </a:extLst>
        </xdr:cNvPr>
        <xdr:cNvSpPr txBox="1"/>
      </xdr:nvSpPr>
      <xdr:spPr>
        <a:xfrm>
          <a:off x="9136380" y="3152775"/>
          <a:ext cx="42862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0</xdr:col>
      <xdr:colOff>167640</xdr:colOff>
      <xdr:row>31</xdr:row>
      <xdr:rowOff>121920</xdr:rowOff>
    </xdr:to>
    <xdr:sp macro="" textlink="">
      <xdr:nvSpPr>
        <xdr:cNvPr id="2" name="Rectangle 1">
          <a:extLst>
            <a:ext uri="{FF2B5EF4-FFF2-40B4-BE49-F238E27FC236}">
              <a16:creationId xmlns:a16="http://schemas.microsoft.com/office/drawing/2014/main" id="{F518A16E-9E82-4019-B2E6-488CB7DE96FC}"/>
            </a:ext>
          </a:extLst>
        </xdr:cNvPr>
        <xdr:cNvSpPr/>
      </xdr:nvSpPr>
      <xdr:spPr>
        <a:xfrm>
          <a:off x="15240" y="0"/>
          <a:ext cx="152400" cy="7917180"/>
        </a:xfrm>
        <a:prstGeom prst="rect">
          <a:avLst/>
        </a:prstGeom>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solidFill>
            <a:schemeClr val="tx1"/>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403860</xdr:colOff>
      <xdr:row>2</xdr:row>
      <xdr:rowOff>167640</xdr:rowOff>
    </xdr:from>
    <xdr:to>
      <xdr:col>2</xdr:col>
      <xdr:colOff>53340</xdr:colOff>
      <xdr:row>2</xdr:row>
      <xdr:rowOff>167640</xdr:rowOff>
    </xdr:to>
    <xdr:cxnSp macro="">
      <xdr:nvCxnSpPr>
        <xdr:cNvPr id="3" name="Straight Connector 2">
          <a:extLst>
            <a:ext uri="{FF2B5EF4-FFF2-40B4-BE49-F238E27FC236}">
              <a16:creationId xmlns:a16="http://schemas.microsoft.com/office/drawing/2014/main" id="{6A876205-B92C-4664-928B-A1197802DD37}"/>
            </a:ext>
          </a:extLst>
        </xdr:cNvPr>
        <xdr:cNvCxnSpPr/>
      </xdr:nvCxnSpPr>
      <xdr:spPr>
        <a:xfrm>
          <a:off x="403860" y="533400"/>
          <a:ext cx="716280" cy="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167640</xdr:colOff>
      <xdr:row>1</xdr:row>
      <xdr:rowOff>83820</xdr:rowOff>
    </xdr:from>
    <xdr:to>
      <xdr:col>1</xdr:col>
      <xdr:colOff>198120</xdr:colOff>
      <xdr:row>17</xdr:row>
      <xdr:rowOff>0</xdr:rowOff>
    </xdr:to>
    <xdr:cxnSp macro="">
      <xdr:nvCxnSpPr>
        <xdr:cNvPr id="5" name="Straight Connector 4">
          <a:extLst>
            <a:ext uri="{FF2B5EF4-FFF2-40B4-BE49-F238E27FC236}">
              <a16:creationId xmlns:a16="http://schemas.microsoft.com/office/drawing/2014/main" id="{B1A4F577-C0B9-46F3-981B-F4074EE62980}"/>
            </a:ext>
          </a:extLst>
        </xdr:cNvPr>
        <xdr:cNvCxnSpPr/>
      </xdr:nvCxnSpPr>
      <xdr:spPr>
        <a:xfrm flipH="1">
          <a:off x="624840" y="266700"/>
          <a:ext cx="30480" cy="529590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556260</xdr:colOff>
      <xdr:row>3</xdr:row>
      <xdr:rowOff>152400</xdr:rowOff>
    </xdr:from>
    <xdr:to>
      <xdr:col>7</xdr:col>
      <xdr:colOff>45720</xdr:colOff>
      <xdr:row>4</xdr:row>
      <xdr:rowOff>982980</xdr:rowOff>
    </xdr:to>
    <xdr:sp macro="" textlink="">
      <xdr:nvSpPr>
        <xdr:cNvPr id="13" name="Rectangle: Rounded Corners 12">
          <a:extLst>
            <a:ext uri="{FF2B5EF4-FFF2-40B4-BE49-F238E27FC236}">
              <a16:creationId xmlns:a16="http://schemas.microsoft.com/office/drawing/2014/main" id="{E952C7E7-9ADC-99FF-E79F-320C633800B9}"/>
            </a:ext>
          </a:extLst>
        </xdr:cNvPr>
        <xdr:cNvSpPr/>
      </xdr:nvSpPr>
      <xdr:spPr>
        <a:xfrm>
          <a:off x="3909060" y="701040"/>
          <a:ext cx="99060" cy="2080260"/>
        </a:xfrm>
        <a:prstGeom prst="roundRect">
          <a:avLst/>
        </a:prstGeom>
        <a:solidFill>
          <a:srgbClr val="FFC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213360</xdr:colOff>
      <xdr:row>4</xdr:row>
      <xdr:rowOff>1234440</xdr:rowOff>
    </xdr:from>
    <xdr:to>
      <xdr:col>24</xdr:col>
      <xdr:colOff>457200</xdr:colOff>
      <xdr:row>5</xdr:row>
      <xdr:rowOff>7620</xdr:rowOff>
    </xdr:to>
    <xdr:cxnSp macro="">
      <xdr:nvCxnSpPr>
        <xdr:cNvPr id="22" name="Straight Connector 21">
          <a:extLst>
            <a:ext uri="{FF2B5EF4-FFF2-40B4-BE49-F238E27FC236}">
              <a16:creationId xmlns:a16="http://schemas.microsoft.com/office/drawing/2014/main" id="{6976FD70-FBE5-40D6-9D86-E21EB7D59C15}"/>
            </a:ext>
          </a:extLst>
        </xdr:cNvPr>
        <xdr:cNvCxnSpPr/>
      </xdr:nvCxnSpPr>
      <xdr:spPr>
        <a:xfrm>
          <a:off x="670560" y="3360420"/>
          <a:ext cx="14112240" cy="1524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243840</xdr:colOff>
      <xdr:row>5</xdr:row>
      <xdr:rowOff>0</xdr:rowOff>
    </xdr:from>
    <xdr:to>
      <xdr:col>23</xdr:col>
      <xdr:colOff>495300</xdr:colOff>
      <xdr:row>5</xdr:row>
      <xdr:rowOff>99060</xdr:rowOff>
    </xdr:to>
    <xdr:sp macro="" textlink="">
      <xdr:nvSpPr>
        <xdr:cNvPr id="28" name="Rectangle: Rounded Corners 27">
          <a:extLst>
            <a:ext uri="{FF2B5EF4-FFF2-40B4-BE49-F238E27FC236}">
              <a16:creationId xmlns:a16="http://schemas.microsoft.com/office/drawing/2014/main" id="{DDDE0F13-3566-4845-AA65-AB14DBC4A9BF}"/>
            </a:ext>
          </a:extLst>
        </xdr:cNvPr>
        <xdr:cNvSpPr/>
      </xdr:nvSpPr>
      <xdr:spPr>
        <a:xfrm rot="5400000">
          <a:off x="7406640" y="-3337560"/>
          <a:ext cx="99060" cy="13510260"/>
        </a:xfrm>
        <a:prstGeom prst="roundRect">
          <a:avLst/>
        </a:prstGeom>
        <a:solidFill>
          <a:srgbClr val="FFC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335280</xdr:colOff>
      <xdr:row>7</xdr:row>
      <xdr:rowOff>15240</xdr:rowOff>
    </xdr:from>
    <xdr:to>
      <xdr:col>2</xdr:col>
      <xdr:colOff>0</xdr:colOff>
      <xdr:row>8</xdr:row>
      <xdr:rowOff>38100</xdr:rowOff>
    </xdr:to>
    <xdr:sp macro="" textlink="">
      <xdr:nvSpPr>
        <xdr:cNvPr id="29" name="Oval 28">
          <a:extLst>
            <a:ext uri="{FF2B5EF4-FFF2-40B4-BE49-F238E27FC236}">
              <a16:creationId xmlns:a16="http://schemas.microsoft.com/office/drawing/2014/main" id="{F2DAEC87-8B43-1AB7-0435-7D59167B2D79}"/>
            </a:ext>
          </a:extLst>
        </xdr:cNvPr>
        <xdr:cNvSpPr/>
      </xdr:nvSpPr>
      <xdr:spPr>
        <a:xfrm>
          <a:off x="792480" y="3749040"/>
          <a:ext cx="274320" cy="266700"/>
        </a:xfrm>
        <a:prstGeom prst="ellipse">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335280</xdr:colOff>
      <xdr:row>9</xdr:row>
      <xdr:rowOff>7620</xdr:rowOff>
    </xdr:from>
    <xdr:to>
      <xdr:col>2</xdr:col>
      <xdr:colOff>0</xdr:colOff>
      <xdr:row>10</xdr:row>
      <xdr:rowOff>30480</xdr:rowOff>
    </xdr:to>
    <xdr:sp macro="" textlink="">
      <xdr:nvSpPr>
        <xdr:cNvPr id="37" name="Oval 36">
          <a:extLst>
            <a:ext uri="{FF2B5EF4-FFF2-40B4-BE49-F238E27FC236}">
              <a16:creationId xmlns:a16="http://schemas.microsoft.com/office/drawing/2014/main" id="{6D109795-A9D7-4D38-A6AC-B28F8BCC20E9}"/>
            </a:ext>
          </a:extLst>
        </xdr:cNvPr>
        <xdr:cNvSpPr/>
      </xdr:nvSpPr>
      <xdr:spPr>
        <a:xfrm>
          <a:off x="792480" y="4168140"/>
          <a:ext cx="274320" cy="266700"/>
        </a:xfrm>
        <a:prstGeom prst="ellipse">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327660</xdr:colOff>
      <xdr:row>10</xdr:row>
      <xdr:rowOff>236220</xdr:rowOff>
    </xdr:from>
    <xdr:to>
      <xdr:col>1</xdr:col>
      <xdr:colOff>601980</xdr:colOff>
      <xdr:row>12</xdr:row>
      <xdr:rowOff>15240</xdr:rowOff>
    </xdr:to>
    <xdr:sp macro="" textlink="">
      <xdr:nvSpPr>
        <xdr:cNvPr id="38" name="Oval 37">
          <a:extLst>
            <a:ext uri="{FF2B5EF4-FFF2-40B4-BE49-F238E27FC236}">
              <a16:creationId xmlns:a16="http://schemas.microsoft.com/office/drawing/2014/main" id="{CB47269C-36B9-4673-823C-7BE5EFDF8792}"/>
            </a:ext>
          </a:extLst>
        </xdr:cNvPr>
        <xdr:cNvSpPr/>
      </xdr:nvSpPr>
      <xdr:spPr>
        <a:xfrm>
          <a:off x="784860" y="4640580"/>
          <a:ext cx="274320" cy="266700"/>
        </a:xfrm>
        <a:prstGeom prst="ellipse">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342900</xdr:colOff>
      <xdr:row>12</xdr:row>
      <xdr:rowOff>144780</xdr:rowOff>
    </xdr:from>
    <xdr:to>
      <xdr:col>2</xdr:col>
      <xdr:colOff>7620</xdr:colOff>
      <xdr:row>13</xdr:row>
      <xdr:rowOff>228600</xdr:rowOff>
    </xdr:to>
    <xdr:sp macro="" textlink="">
      <xdr:nvSpPr>
        <xdr:cNvPr id="39" name="Oval 38">
          <a:extLst>
            <a:ext uri="{FF2B5EF4-FFF2-40B4-BE49-F238E27FC236}">
              <a16:creationId xmlns:a16="http://schemas.microsoft.com/office/drawing/2014/main" id="{961E5680-61F4-4A21-9116-8A12727B22CC}"/>
            </a:ext>
          </a:extLst>
        </xdr:cNvPr>
        <xdr:cNvSpPr/>
      </xdr:nvSpPr>
      <xdr:spPr>
        <a:xfrm>
          <a:off x="800100" y="4975860"/>
          <a:ext cx="274320" cy="266700"/>
        </a:xfrm>
        <a:prstGeom prst="ellipse">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350520</xdr:colOff>
      <xdr:row>15</xdr:row>
      <xdr:rowOff>60960</xdr:rowOff>
    </xdr:from>
    <xdr:to>
      <xdr:col>2</xdr:col>
      <xdr:colOff>15240</xdr:colOff>
      <xdr:row>17</xdr:row>
      <xdr:rowOff>7620</xdr:rowOff>
    </xdr:to>
    <xdr:sp macro="" textlink="">
      <xdr:nvSpPr>
        <xdr:cNvPr id="40" name="Oval 39">
          <a:extLst>
            <a:ext uri="{FF2B5EF4-FFF2-40B4-BE49-F238E27FC236}">
              <a16:creationId xmlns:a16="http://schemas.microsoft.com/office/drawing/2014/main" id="{083AD364-BCD2-4ADE-AB20-7C3F4030435B}"/>
            </a:ext>
          </a:extLst>
        </xdr:cNvPr>
        <xdr:cNvSpPr/>
      </xdr:nvSpPr>
      <xdr:spPr>
        <a:xfrm>
          <a:off x="807720" y="5394960"/>
          <a:ext cx="274320" cy="266700"/>
        </a:xfrm>
        <a:prstGeom prst="ellipse">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243840</xdr:colOff>
      <xdr:row>6</xdr:row>
      <xdr:rowOff>167640</xdr:rowOff>
    </xdr:from>
    <xdr:to>
      <xdr:col>13</xdr:col>
      <xdr:colOff>518160</xdr:colOff>
      <xdr:row>8</xdr:row>
      <xdr:rowOff>7620</xdr:rowOff>
    </xdr:to>
    <xdr:sp macro="" textlink="">
      <xdr:nvSpPr>
        <xdr:cNvPr id="41" name="Oval 40">
          <a:extLst>
            <a:ext uri="{FF2B5EF4-FFF2-40B4-BE49-F238E27FC236}">
              <a16:creationId xmlns:a16="http://schemas.microsoft.com/office/drawing/2014/main" id="{DD012051-74B8-4FF2-BB72-3CC7F7868BF7}"/>
            </a:ext>
          </a:extLst>
        </xdr:cNvPr>
        <xdr:cNvSpPr/>
      </xdr:nvSpPr>
      <xdr:spPr>
        <a:xfrm>
          <a:off x="7863840" y="3718560"/>
          <a:ext cx="274320" cy="266700"/>
        </a:xfrm>
        <a:prstGeom prst="ellipse">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525780</xdr:colOff>
      <xdr:row>6</xdr:row>
      <xdr:rowOff>99060</xdr:rowOff>
    </xdr:from>
    <xdr:to>
      <xdr:col>8</xdr:col>
      <xdr:colOff>342900</xdr:colOff>
      <xdr:row>8</xdr:row>
      <xdr:rowOff>99060</xdr:rowOff>
    </xdr:to>
    <xdr:pic>
      <xdr:nvPicPr>
        <xdr:cNvPr id="49" name="Graphic 48" descr="Chevron arrows with solid fill">
          <a:extLst>
            <a:ext uri="{FF2B5EF4-FFF2-40B4-BE49-F238E27FC236}">
              <a16:creationId xmlns:a16="http://schemas.microsoft.com/office/drawing/2014/main" id="{C5918983-D517-EE3C-A436-ECF1260EF17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88180" y="3649980"/>
          <a:ext cx="426720" cy="426720"/>
        </a:xfrm>
        <a:prstGeom prst="rect">
          <a:avLst/>
        </a:prstGeom>
      </xdr:spPr>
    </xdr:pic>
    <xdr:clientData/>
  </xdr:twoCellAnchor>
  <xdr:twoCellAnchor editAs="oneCell">
    <xdr:from>
      <xdr:col>7</xdr:col>
      <xdr:colOff>518160</xdr:colOff>
      <xdr:row>8</xdr:row>
      <xdr:rowOff>91440</xdr:rowOff>
    </xdr:from>
    <xdr:to>
      <xdr:col>8</xdr:col>
      <xdr:colOff>335280</xdr:colOff>
      <xdr:row>10</xdr:row>
      <xdr:rowOff>91440</xdr:rowOff>
    </xdr:to>
    <xdr:pic>
      <xdr:nvPicPr>
        <xdr:cNvPr id="50" name="Graphic 49" descr="Chevron arrows with solid fill">
          <a:extLst>
            <a:ext uri="{FF2B5EF4-FFF2-40B4-BE49-F238E27FC236}">
              <a16:creationId xmlns:a16="http://schemas.microsoft.com/office/drawing/2014/main" id="{9BF0A118-8ECC-43FF-B1A6-1CC408088B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80560" y="4069080"/>
          <a:ext cx="426720" cy="426720"/>
        </a:xfrm>
        <a:prstGeom prst="rect">
          <a:avLst/>
        </a:prstGeom>
      </xdr:spPr>
    </xdr:pic>
    <xdr:clientData/>
  </xdr:twoCellAnchor>
  <xdr:twoCellAnchor editAs="oneCell">
    <xdr:from>
      <xdr:col>7</xdr:col>
      <xdr:colOff>510540</xdr:colOff>
      <xdr:row>10</xdr:row>
      <xdr:rowOff>114300</xdr:rowOff>
    </xdr:from>
    <xdr:to>
      <xdr:col>8</xdr:col>
      <xdr:colOff>327660</xdr:colOff>
      <xdr:row>12</xdr:row>
      <xdr:rowOff>53340</xdr:rowOff>
    </xdr:to>
    <xdr:pic>
      <xdr:nvPicPr>
        <xdr:cNvPr id="51" name="Graphic 50" descr="Chevron arrows with solid fill">
          <a:extLst>
            <a:ext uri="{FF2B5EF4-FFF2-40B4-BE49-F238E27FC236}">
              <a16:creationId xmlns:a16="http://schemas.microsoft.com/office/drawing/2014/main" id="{220CA6E9-95CE-46AD-A689-88F3AF3C29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2940" y="4518660"/>
          <a:ext cx="426720" cy="426720"/>
        </a:xfrm>
        <a:prstGeom prst="rect">
          <a:avLst/>
        </a:prstGeom>
      </xdr:spPr>
    </xdr:pic>
    <xdr:clientData/>
  </xdr:twoCellAnchor>
  <xdr:twoCellAnchor editAs="oneCell">
    <xdr:from>
      <xdr:col>7</xdr:col>
      <xdr:colOff>502920</xdr:colOff>
      <xdr:row>12</xdr:row>
      <xdr:rowOff>106680</xdr:rowOff>
    </xdr:from>
    <xdr:to>
      <xdr:col>8</xdr:col>
      <xdr:colOff>320040</xdr:colOff>
      <xdr:row>15</xdr:row>
      <xdr:rowOff>30480</xdr:rowOff>
    </xdr:to>
    <xdr:pic>
      <xdr:nvPicPr>
        <xdr:cNvPr id="52" name="Graphic 51" descr="Chevron arrows with solid fill">
          <a:extLst>
            <a:ext uri="{FF2B5EF4-FFF2-40B4-BE49-F238E27FC236}">
              <a16:creationId xmlns:a16="http://schemas.microsoft.com/office/drawing/2014/main" id="{59DB11D5-67EC-471F-9969-05D1840554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65320" y="4937760"/>
          <a:ext cx="426720" cy="426720"/>
        </a:xfrm>
        <a:prstGeom prst="rect">
          <a:avLst/>
        </a:prstGeom>
      </xdr:spPr>
    </xdr:pic>
    <xdr:clientData/>
  </xdr:twoCellAnchor>
  <xdr:twoCellAnchor editAs="oneCell">
    <xdr:from>
      <xdr:col>7</xdr:col>
      <xdr:colOff>495300</xdr:colOff>
      <xdr:row>14</xdr:row>
      <xdr:rowOff>68580</xdr:rowOff>
    </xdr:from>
    <xdr:to>
      <xdr:col>8</xdr:col>
      <xdr:colOff>312420</xdr:colOff>
      <xdr:row>17</xdr:row>
      <xdr:rowOff>99060</xdr:rowOff>
    </xdr:to>
    <xdr:pic>
      <xdr:nvPicPr>
        <xdr:cNvPr id="53" name="Graphic 52" descr="Chevron arrows with solid fill">
          <a:extLst>
            <a:ext uri="{FF2B5EF4-FFF2-40B4-BE49-F238E27FC236}">
              <a16:creationId xmlns:a16="http://schemas.microsoft.com/office/drawing/2014/main" id="{61F1E251-FB84-4FE5-B68C-1E01190A99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57700" y="5326380"/>
          <a:ext cx="426720" cy="426720"/>
        </a:xfrm>
        <a:prstGeom prst="rect">
          <a:avLst/>
        </a:prstGeom>
      </xdr:spPr>
    </xdr:pic>
    <xdr:clientData/>
  </xdr:twoCellAnchor>
  <xdr:twoCellAnchor>
    <xdr:from>
      <xdr:col>9</xdr:col>
      <xdr:colOff>190500</xdr:colOff>
      <xdr:row>6</xdr:row>
      <xdr:rowOff>167640</xdr:rowOff>
    </xdr:from>
    <xdr:to>
      <xdr:col>10</xdr:col>
      <xdr:colOff>381000</xdr:colOff>
      <xdr:row>8</xdr:row>
      <xdr:rowOff>99060</xdr:rowOff>
    </xdr:to>
    <xdr:sp macro="" textlink="">
      <xdr:nvSpPr>
        <xdr:cNvPr id="55" name="Rectangle: Rounded Corners 54">
          <a:extLst>
            <a:ext uri="{FF2B5EF4-FFF2-40B4-BE49-F238E27FC236}">
              <a16:creationId xmlns:a16="http://schemas.microsoft.com/office/drawing/2014/main" id="{2CFE526A-0E4F-4AB6-71F9-9B5333407AE7}"/>
            </a:ext>
          </a:extLst>
        </xdr:cNvPr>
        <xdr:cNvSpPr/>
      </xdr:nvSpPr>
      <xdr:spPr>
        <a:xfrm>
          <a:off x="5372100" y="3718560"/>
          <a:ext cx="800100" cy="358140"/>
        </a:xfrm>
        <a:prstGeom prst="roundRect">
          <a:avLst/>
        </a:prstGeom>
        <a:solidFill>
          <a:srgbClr val="FFCA2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a:solidFill>
                <a:schemeClr val="tx1"/>
              </a:solidFill>
              <a:latin typeface="Bebas Neue" panose="020B0606020202050201" pitchFamily="34" charset="0"/>
            </a:rPr>
            <a:t>  </a:t>
          </a:r>
          <a:r>
            <a:rPr lang="en-IN" sz="1400">
              <a:solidFill>
                <a:schemeClr val="tx1"/>
              </a:solidFill>
              <a:latin typeface="Bebas Neue" panose="020B0606020202050201" pitchFamily="34" charset="0"/>
            </a:rPr>
            <a:t>DATA</a:t>
          </a:r>
          <a:r>
            <a:rPr lang="en-IN" sz="1400">
              <a:solidFill>
                <a:schemeClr val="bg1"/>
              </a:solidFill>
              <a:latin typeface="Bebas Neue" panose="020B0606020202050201" pitchFamily="34" charset="0"/>
            </a:rPr>
            <a:t> </a:t>
          </a:r>
        </a:p>
      </xdr:txBody>
    </xdr:sp>
    <xdr:clientData/>
  </xdr:twoCellAnchor>
  <xdr:twoCellAnchor>
    <xdr:from>
      <xdr:col>9</xdr:col>
      <xdr:colOff>182880</xdr:colOff>
      <xdr:row>8</xdr:row>
      <xdr:rowOff>160020</xdr:rowOff>
    </xdr:from>
    <xdr:to>
      <xdr:col>10</xdr:col>
      <xdr:colOff>373380</xdr:colOff>
      <xdr:row>10</xdr:row>
      <xdr:rowOff>60960</xdr:rowOff>
    </xdr:to>
    <xdr:sp macro="" textlink="">
      <xdr:nvSpPr>
        <xdr:cNvPr id="56" name="Rectangle: Rounded Corners 55">
          <a:extLst>
            <a:ext uri="{FF2B5EF4-FFF2-40B4-BE49-F238E27FC236}">
              <a16:creationId xmlns:a16="http://schemas.microsoft.com/office/drawing/2014/main" id="{8BFB4BC2-BA9A-4BEA-B977-C1C942490BB9}"/>
            </a:ext>
          </a:extLst>
        </xdr:cNvPr>
        <xdr:cNvSpPr/>
      </xdr:nvSpPr>
      <xdr:spPr>
        <a:xfrm>
          <a:off x="5364480" y="4137660"/>
          <a:ext cx="800100" cy="327660"/>
        </a:xfrm>
        <a:prstGeom prst="roundRect">
          <a:avLst/>
        </a:prstGeom>
        <a:solidFill>
          <a:srgbClr val="FFCA2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198120</xdr:colOff>
      <xdr:row>10</xdr:row>
      <xdr:rowOff>144780</xdr:rowOff>
    </xdr:from>
    <xdr:to>
      <xdr:col>10</xdr:col>
      <xdr:colOff>342900</xdr:colOff>
      <xdr:row>11</xdr:row>
      <xdr:rowOff>228600</xdr:rowOff>
    </xdr:to>
    <xdr:sp macro="" textlink="">
      <xdr:nvSpPr>
        <xdr:cNvPr id="57" name="Rectangle: Rounded Corners 56">
          <a:extLst>
            <a:ext uri="{FF2B5EF4-FFF2-40B4-BE49-F238E27FC236}">
              <a16:creationId xmlns:a16="http://schemas.microsoft.com/office/drawing/2014/main" id="{CAC2454A-99E5-4936-B55F-68CCB9CE5437}"/>
            </a:ext>
          </a:extLst>
        </xdr:cNvPr>
        <xdr:cNvSpPr/>
      </xdr:nvSpPr>
      <xdr:spPr>
        <a:xfrm>
          <a:off x="5379720" y="4549140"/>
          <a:ext cx="754380" cy="327660"/>
        </a:xfrm>
        <a:prstGeom prst="roundRect">
          <a:avLst/>
        </a:prstGeom>
        <a:solidFill>
          <a:srgbClr val="FFCA2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a:solidFill>
                <a:schemeClr val="tx1"/>
              </a:solidFill>
              <a:latin typeface="Bebas Neue" panose="020B0606020202050201" pitchFamily="34" charset="0"/>
              <a:ea typeface="+mn-ea"/>
              <a:cs typeface="+mn-cs"/>
            </a:rPr>
            <a:t>ANALYSIS</a:t>
          </a:r>
          <a:endParaRPr lang="en-IN" sz="1600">
            <a:solidFill>
              <a:schemeClr val="tx1"/>
            </a:solidFill>
            <a:latin typeface="Bebas Neue" panose="020B0606020202050201" pitchFamily="34" charset="0"/>
            <a:ea typeface="+mn-ea"/>
            <a:cs typeface="+mn-cs"/>
          </a:endParaRPr>
        </a:p>
      </xdr:txBody>
    </xdr:sp>
    <xdr:clientData/>
  </xdr:twoCellAnchor>
  <xdr:twoCellAnchor>
    <xdr:from>
      <xdr:col>9</xdr:col>
      <xdr:colOff>175260</xdr:colOff>
      <xdr:row>12</xdr:row>
      <xdr:rowOff>114300</xdr:rowOff>
    </xdr:from>
    <xdr:to>
      <xdr:col>10</xdr:col>
      <xdr:colOff>320040</xdr:colOff>
      <xdr:row>14</xdr:row>
      <xdr:rowOff>0</xdr:rowOff>
    </xdr:to>
    <xdr:sp macro="" textlink="">
      <xdr:nvSpPr>
        <xdr:cNvPr id="58" name="Rectangle: Rounded Corners 57">
          <a:extLst>
            <a:ext uri="{FF2B5EF4-FFF2-40B4-BE49-F238E27FC236}">
              <a16:creationId xmlns:a16="http://schemas.microsoft.com/office/drawing/2014/main" id="{A8BB3D24-F832-44BA-94DF-93A8231271DC}"/>
            </a:ext>
          </a:extLst>
        </xdr:cNvPr>
        <xdr:cNvSpPr/>
      </xdr:nvSpPr>
      <xdr:spPr>
        <a:xfrm>
          <a:off x="5356860" y="5006340"/>
          <a:ext cx="754380" cy="312420"/>
        </a:xfrm>
        <a:prstGeom prst="roundRect">
          <a:avLst/>
        </a:prstGeom>
        <a:solidFill>
          <a:srgbClr val="FFCA2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175260</xdr:colOff>
      <xdr:row>15</xdr:row>
      <xdr:rowOff>60960</xdr:rowOff>
    </xdr:from>
    <xdr:to>
      <xdr:col>10</xdr:col>
      <xdr:colOff>320040</xdr:colOff>
      <xdr:row>17</xdr:row>
      <xdr:rowOff>38100</xdr:rowOff>
    </xdr:to>
    <xdr:sp macro="" textlink="">
      <xdr:nvSpPr>
        <xdr:cNvPr id="59" name="Rectangle: Rounded Corners 58">
          <a:extLst>
            <a:ext uri="{FF2B5EF4-FFF2-40B4-BE49-F238E27FC236}">
              <a16:creationId xmlns:a16="http://schemas.microsoft.com/office/drawing/2014/main" id="{063725A1-EF0B-4905-88D6-C80D8555417B}"/>
            </a:ext>
          </a:extLst>
        </xdr:cNvPr>
        <xdr:cNvSpPr/>
      </xdr:nvSpPr>
      <xdr:spPr>
        <a:xfrm>
          <a:off x="5356860" y="5455920"/>
          <a:ext cx="754380" cy="297180"/>
        </a:xfrm>
        <a:prstGeom prst="roundRect">
          <a:avLst/>
        </a:prstGeom>
        <a:solidFill>
          <a:srgbClr val="FFCA2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182880</xdr:colOff>
      <xdr:row>12</xdr:row>
      <xdr:rowOff>121920</xdr:rowOff>
    </xdr:from>
    <xdr:to>
      <xdr:col>10</xdr:col>
      <xdr:colOff>323153</xdr:colOff>
      <xdr:row>15</xdr:row>
      <xdr:rowOff>27467</xdr:rowOff>
    </xdr:to>
    <xdr:pic>
      <xdr:nvPicPr>
        <xdr:cNvPr id="61" name="Picture 60">
          <a:extLst>
            <a:ext uri="{FF2B5EF4-FFF2-40B4-BE49-F238E27FC236}">
              <a16:creationId xmlns:a16="http://schemas.microsoft.com/office/drawing/2014/main" id="{0C5EBAD3-66D6-CFAD-E888-1A4A6D961484}"/>
            </a:ext>
          </a:extLst>
        </xdr:cNvPr>
        <xdr:cNvPicPr>
          <a:picLocks noChangeAspect="1"/>
        </xdr:cNvPicPr>
      </xdr:nvPicPr>
      <xdr:blipFill>
        <a:blip xmlns:r="http://schemas.openxmlformats.org/officeDocument/2006/relationships" r:embed="rId3"/>
        <a:stretch>
          <a:fillRect/>
        </a:stretch>
      </xdr:blipFill>
      <xdr:spPr>
        <a:xfrm>
          <a:off x="5364480" y="5013960"/>
          <a:ext cx="749873" cy="408467"/>
        </a:xfrm>
        <a:prstGeom prst="rect">
          <a:avLst/>
        </a:prstGeom>
      </xdr:spPr>
    </xdr:pic>
    <xdr:clientData/>
  </xdr:twoCellAnchor>
  <xdr:twoCellAnchor editAs="oneCell">
    <xdr:from>
      <xdr:col>9</xdr:col>
      <xdr:colOff>175261</xdr:colOff>
      <xdr:row>15</xdr:row>
      <xdr:rowOff>60961</xdr:rowOff>
    </xdr:from>
    <xdr:to>
      <xdr:col>10</xdr:col>
      <xdr:colOff>281941</xdr:colOff>
      <xdr:row>17</xdr:row>
      <xdr:rowOff>75738</xdr:rowOff>
    </xdr:to>
    <xdr:pic>
      <xdr:nvPicPr>
        <xdr:cNvPr id="62" name="Picture 61">
          <a:extLst>
            <a:ext uri="{FF2B5EF4-FFF2-40B4-BE49-F238E27FC236}">
              <a16:creationId xmlns:a16="http://schemas.microsoft.com/office/drawing/2014/main" id="{C48E42E0-83FE-3C78-AAC6-5C42E0BB30AD}"/>
            </a:ext>
          </a:extLst>
        </xdr:cNvPr>
        <xdr:cNvPicPr>
          <a:picLocks noChangeAspect="1"/>
        </xdr:cNvPicPr>
      </xdr:nvPicPr>
      <xdr:blipFill>
        <a:blip xmlns:r="http://schemas.openxmlformats.org/officeDocument/2006/relationships" r:embed="rId3"/>
        <a:stretch>
          <a:fillRect/>
        </a:stretch>
      </xdr:blipFill>
      <xdr:spPr>
        <a:xfrm>
          <a:off x="5356861" y="5455921"/>
          <a:ext cx="716280" cy="334817"/>
        </a:xfrm>
        <a:prstGeom prst="rect">
          <a:avLst/>
        </a:prstGeom>
      </xdr:spPr>
    </xdr:pic>
    <xdr:clientData/>
  </xdr:twoCellAnchor>
  <xdr:twoCellAnchor editAs="oneCell">
    <xdr:from>
      <xdr:col>9</xdr:col>
      <xdr:colOff>266700</xdr:colOff>
      <xdr:row>9</xdr:row>
      <xdr:rowOff>7620</xdr:rowOff>
    </xdr:from>
    <xdr:to>
      <xdr:col>10</xdr:col>
      <xdr:colOff>175305</xdr:colOff>
      <xdr:row>10</xdr:row>
      <xdr:rowOff>172247</xdr:rowOff>
    </xdr:to>
    <xdr:pic>
      <xdr:nvPicPr>
        <xdr:cNvPr id="64" name="Picture 63">
          <a:extLst>
            <a:ext uri="{FF2B5EF4-FFF2-40B4-BE49-F238E27FC236}">
              <a16:creationId xmlns:a16="http://schemas.microsoft.com/office/drawing/2014/main" id="{E27884C9-9046-80A4-36AB-6F88E3C04052}"/>
            </a:ext>
          </a:extLst>
        </xdr:cNvPr>
        <xdr:cNvPicPr>
          <a:picLocks noChangeAspect="1"/>
        </xdr:cNvPicPr>
      </xdr:nvPicPr>
      <xdr:blipFill>
        <a:blip xmlns:r="http://schemas.openxmlformats.org/officeDocument/2006/relationships" r:embed="rId4"/>
        <a:stretch>
          <a:fillRect/>
        </a:stretch>
      </xdr:blipFill>
      <xdr:spPr>
        <a:xfrm>
          <a:off x="5448300" y="4168140"/>
          <a:ext cx="518205" cy="408467"/>
        </a:xfrm>
        <a:prstGeom prst="rect">
          <a:avLst/>
        </a:prstGeom>
      </xdr:spPr>
    </xdr:pic>
    <xdr:clientData/>
  </xdr:twoCellAnchor>
  <xdr:twoCellAnchor>
    <xdr:from>
      <xdr:col>21</xdr:col>
      <xdr:colOff>0</xdr:colOff>
      <xdr:row>7</xdr:row>
      <xdr:rowOff>0</xdr:rowOff>
    </xdr:from>
    <xdr:to>
      <xdr:col>22</xdr:col>
      <xdr:colOff>182880</xdr:colOff>
      <xdr:row>8</xdr:row>
      <xdr:rowOff>91440</xdr:rowOff>
    </xdr:to>
    <xdr:sp macro="" textlink="">
      <xdr:nvSpPr>
        <xdr:cNvPr id="16" name="Rectangle: Rounded Corners 15">
          <a:extLst>
            <a:ext uri="{FF2B5EF4-FFF2-40B4-BE49-F238E27FC236}">
              <a16:creationId xmlns:a16="http://schemas.microsoft.com/office/drawing/2014/main" id="{A2A95B2B-19A1-414C-8232-FE2A3111DC3D}"/>
            </a:ext>
          </a:extLst>
        </xdr:cNvPr>
        <xdr:cNvSpPr/>
      </xdr:nvSpPr>
      <xdr:spPr>
        <a:xfrm>
          <a:off x="12496800" y="3733800"/>
          <a:ext cx="792480" cy="335280"/>
        </a:xfrm>
        <a:prstGeom prst="roundRect">
          <a:avLst/>
        </a:prstGeom>
        <a:solidFill>
          <a:srgbClr val="FFCA2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a:solidFill>
                <a:schemeClr val="tx1"/>
              </a:solidFill>
              <a:latin typeface="Bebas Neue" panose="020B0606020202050201" pitchFamily="34" charset="0"/>
              <a:ea typeface="+mn-ea"/>
              <a:cs typeface="+mn-cs"/>
            </a:rPr>
            <a:t>ANALYSIS</a:t>
          </a:r>
          <a:endParaRPr lang="en-IN" sz="1600">
            <a:solidFill>
              <a:schemeClr val="tx1"/>
            </a:solidFill>
            <a:latin typeface="Bebas Neue" panose="020B0606020202050201" pitchFamily="34" charset="0"/>
            <a:ea typeface="+mn-ea"/>
            <a:cs typeface="+mn-cs"/>
          </a:endParaRPr>
        </a:p>
      </xdr:txBody>
    </xdr:sp>
    <xdr:clientData/>
  </xdr:twoCellAnchor>
  <xdr:twoCellAnchor>
    <xdr:from>
      <xdr:col>21</xdr:col>
      <xdr:colOff>0</xdr:colOff>
      <xdr:row>9</xdr:row>
      <xdr:rowOff>0</xdr:rowOff>
    </xdr:from>
    <xdr:to>
      <xdr:col>22</xdr:col>
      <xdr:colOff>182880</xdr:colOff>
      <xdr:row>10</xdr:row>
      <xdr:rowOff>91440</xdr:rowOff>
    </xdr:to>
    <xdr:sp macro="" textlink="">
      <xdr:nvSpPr>
        <xdr:cNvPr id="17" name="Rectangle: Rounded Corners 16">
          <a:extLst>
            <a:ext uri="{FF2B5EF4-FFF2-40B4-BE49-F238E27FC236}">
              <a16:creationId xmlns:a16="http://schemas.microsoft.com/office/drawing/2014/main" id="{0CC45EAF-7122-49C7-9A6F-932F34A366D6}"/>
            </a:ext>
          </a:extLst>
        </xdr:cNvPr>
        <xdr:cNvSpPr/>
      </xdr:nvSpPr>
      <xdr:spPr>
        <a:xfrm>
          <a:off x="12496800" y="4160520"/>
          <a:ext cx="792480" cy="335280"/>
        </a:xfrm>
        <a:prstGeom prst="roundRect">
          <a:avLst/>
        </a:prstGeom>
        <a:solidFill>
          <a:srgbClr val="FFCA2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a:solidFill>
                <a:schemeClr val="tx1"/>
              </a:solidFill>
              <a:latin typeface="Bebas Neue" panose="020B0606020202050201" pitchFamily="34" charset="0"/>
              <a:ea typeface="+mn-ea"/>
              <a:cs typeface="+mn-cs"/>
            </a:rPr>
            <a:t>ANALYSIS</a:t>
          </a:r>
          <a:endParaRPr lang="en-IN" sz="1600">
            <a:solidFill>
              <a:schemeClr val="tx1"/>
            </a:solidFill>
            <a:latin typeface="Bebas Neue" panose="020B0606020202050201" pitchFamily="34" charset="0"/>
            <a:ea typeface="+mn-ea"/>
            <a:cs typeface="+mn-cs"/>
          </a:endParaRPr>
        </a:p>
      </xdr:txBody>
    </xdr:sp>
    <xdr:clientData/>
  </xdr:twoCellAnchor>
  <xdr:twoCellAnchor>
    <xdr:from>
      <xdr:col>20</xdr:col>
      <xdr:colOff>579120</xdr:colOff>
      <xdr:row>10</xdr:row>
      <xdr:rowOff>205740</xdr:rowOff>
    </xdr:from>
    <xdr:to>
      <xdr:col>22</xdr:col>
      <xdr:colOff>152400</xdr:colOff>
      <xdr:row>12</xdr:row>
      <xdr:rowOff>53340</xdr:rowOff>
    </xdr:to>
    <xdr:sp macro="" textlink="">
      <xdr:nvSpPr>
        <xdr:cNvPr id="18" name="Rectangle: Rounded Corners 17">
          <a:extLst>
            <a:ext uri="{FF2B5EF4-FFF2-40B4-BE49-F238E27FC236}">
              <a16:creationId xmlns:a16="http://schemas.microsoft.com/office/drawing/2014/main" id="{294ABBAF-405B-4B8D-9626-1444232151A8}"/>
            </a:ext>
          </a:extLst>
        </xdr:cNvPr>
        <xdr:cNvSpPr/>
      </xdr:nvSpPr>
      <xdr:spPr>
        <a:xfrm>
          <a:off x="12466320" y="4610100"/>
          <a:ext cx="792480" cy="335280"/>
        </a:xfrm>
        <a:prstGeom prst="roundRect">
          <a:avLst/>
        </a:prstGeom>
        <a:solidFill>
          <a:srgbClr val="FFCA2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a:solidFill>
                <a:schemeClr val="tx1"/>
              </a:solidFill>
              <a:latin typeface="Bebas Neue" panose="020B0606020202050201" pitchFamily="34" charset="0"/>
              <a:ea typeface="+mn-ea"/>
              <a:cs typeface="+mn-cs"/>
            </a:rPr>
            <a:t>ANALYSIS</a:t>
          </a:r>
          <a:endParaRPr lang="en-IN" sz="1600">
            <a:solidFill>
              <a:schemeClr val="tx1"/>
            </a:solidFill>
            <a:latin typeface="Bebas Neue" panose="020B0606020202050201" pitchFamily="34" charset="0"/>
            <a:ea typeface="+mn-ea"/>
            <a:cs typeface="+mn-cs"/>
          </a:endParaRPr>
        </a:p>
      </xdr:txBody>
    </xdr:sp>
    <xdr:clientData/>
  </xdr:twoCellAnchor>
  <xdr:twoCellAnchor>
    <xdr:from>
      <xdr:col>21</xdr:col>
      <xdr:colOff>0</xdr:colOff>
      <xdr:row>12</xdr:row>
      <xdr:rowOff>129540</xdr:rowOff>
    </xdr:from>
    <xdr:to>
      <xdr:col>22</xdr:col>
      <xdr:colOff>182880</xdr:colOff>
      <xdr:row>14</xdr:row>
      <xdr:rowOff>38100</xdr:rowOff>
    </xdr:to>
    <xdr:sp macro="" textlink="">
      <xdr:nvSpPr>
        <xdr:cNvPr id="19" name="Rectangle: Rounded Corners 18">
          <a:extLst>
            <a:ext uri="{FF2B5EF4-FFF2-40B4-BE49-F238E27FC236}">
              <a16:creationId xmlns:a16="http://schemas.microsoft.com/office/drawing/2014/main" id="{A06BA0FB-3188-423B-8460-F9FB43E4E3E7}"/>
            </a:ext>
          </a:extLst>
        </xdr:cNvPr>
        <xdr:cNvSpPr/>
      </xdr:nvSpPr>
      <xdr:spPr>
        <a:xfrm>
          <a:off x="12496800" y="5021580"/>
          <a:ext cx="792480" cy="335280"/>
        </a:xfrm>
        <a:prstGeom prst="roundRect">
          <a:avLst/>
        </a:prstGeom>
        <a:solidFill>
          <a:srgbClr val="FFCA2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a:solidFill>
                <a:schemeClr val="tx1"/>
              </a:solidFill>
              <a:latin typeface="Bebas Neue" panose="020B0606020202050201" pitchFamily="34" charset="0"/>
              <a:ea typeface="+mn-ea"/>
              <a:cs typeface="+mn-cs"/>
            </a:rPr>
            <a:t>ANALYSIS</a:t>
          </a:r>
          <a:endParaRPr lang="en-IN" sz="1600">
            <a:solidFill>
              <a:schemeClr val="tx1"/>
            </a:solidFill>
            <a:latin typeface="Bebas Neue" panose="020B0606020202050201" pitchFamily="34" charset="0"/>
            <a:ea typeface="+mn-ea"/>
            <a:cs typeface="+mn-cs"/>
          </a:endParaRPr>
        </a:p>
      </xdr:txBody>
    </xdr:sp>
    <xdr:clientData/>
  </xdr:twoCellAnchor>
  <xdr:twoCellAnchor>
    <xdr:from>
      <xdr:col>20</xdr:col>
      <xdr:colOff>601980</xdr:colOff>
      <xdr:row>15</xdr:row>
      <xdr:rowOff>53340</xdr:rowOff>
    </xdr:from>
    <xdr:to>
      <xdr:col>22</xdr:col>
      <xdr:colOff>175260</xdr:colOff>
      <xdr:row>17</xdr:row>
      <xdr:rowOff>68580</xdr:rowOff>
    </xdr:to>
    <xdr:sp macro="" textlink="">
      <xdr:nvSpPr>
        <xdr:cNvPr id="20" name="Rectangle: Rounded Corners 19">
          <a:extLst>
            <a:ext uri="{FF2B5EF4-FFF2-40B4-BE49-F238E27FC236}">
              <a16:creationId xmlns:a16="http://schemas.microsoft.com/office/drawing/2014/main" id="{37118421-6B3F-4064-AFF9-3DECE2FBD72D}"/>
            </a:ext>
          </a:extLst>
        </xdr:cNvPr>
        <xdr:cNvSpPr/>
      </xdr:nvSpPr>
      <xdr:spPr>
        <a:xfrm>
          <a:off x="12489180" y="5387340"/>
          <a:ext cx="792480" cy="335280"/>
        </a:xfrm>
        <a:prstGeom prst="roundRect">
          <a:avLst/>
        </a:prstGeom>
        <a:solidFill>
          <a:srgbClr val="FFCA2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a:solidFill>
                <a:schemeClr val="tx1"/>
              </a:solidFill>
              <a:latin typeface="Bebas Neue" panose="020B0606020202050201" pitchFamily="34" charset="0"/>
              <a:ea typeface="+mn-ea"/>
              <a:cs typeface="+mn-cs"/>
            </a:rPr>
            <a:t> visual</a:t>
          </a:r>
          <a:endParaRPr lang="en-IN" sz="1600">
            <a:solidFill>
              <a:schemeClr val="tx1"/>
            </a:solidFill>
            <a:latin typeface="Bebas Neue" panose="020B0606020202050201" pitchFamily="34" charset="0"/>
            <a:ea typeface="+mn-ea"/>
            <a:cs typeface="+mn-cs"/>
          </a:endParaRPr>
        </a:p>
      </xdr:txBody>
    </xdr:sp>
    <xdr:clientData/>
  </xdr:twoCellAnchor>
  <xdr:twoCellAnchor>
    <xdr:from>
      <xdr:col>13</xdr:col>
      <xdr:colOff>259080</xdr:colOff>
      <xdr:row>8</xdr:row>
      <xdr:rowOff>175260</xdr:rowOff>
    </xdr:from>
    <xdr:to>
      <xdr:col>13</xdr:col>
      <xdr:colOff>533400</xdr:colOff>
      <xdr:row>10</xdr:row>
      <xdr:rowOff>15240</xdr:rowOff>
    </xdr:to>
    <xdr:sp macro="" textlink="">
      <xdr:nvSpPr>
        <xdr:cNvPr id="21" name="Oval 20">
          <a:extLst>
            <a:ext uri="{FF2B5EF4-FFF2-40B4-BE49-F238E27FC236}">
              <a16:creationId xmlns:a16="http://schemas.microsoft.com/office/drawing/2014/main" id="{0FE5B8FE-EEA7-495C-924F-3F653D325D18}"/>
            </a:ext>
          </a:extLst>
        </xdr:cNvPr>
        <xdr:cNvSpPr/>
      </xdr:nvSpPr>
      <xdr:spPr>
        <a:xfrm>
          <a:off x="7879080" y="4152900"/>
          <a:ext cx="274320" cy="266700"/>
        </a:xfrm>
        <a:prstGeom prst="ellipse">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281940</xdr:colOff>
      <xdr:row>10</xdr:row>
      <xdr:rowOff>228600</xdr:rowOff>
    </xdr:from>
    <xdr:to>
      <xdr:col>13</xdr:col>
      <xdr:colOff>556260</xdr:colOff>
      <xdr:row>12</xdr:row>
      <xdr:rowOff>7620</xdr:rowOff>
    </xdr:to>
    <xdr:sp macro="" textlink="">
      <xdr:nvSpPr>
        <xdr:cNvPr id="23" name="Oval 22">
          <a:extLst>
            <a:ext uri="{FF2B5EF4-FFF2-40B4-BE49-F238E27FC236}">
              <a16:creationId xmlns:a16="http://schemas.microsoft.com/office/drawing/2014/main" id="{DADEAB2A-A17A-4E9B-A0E3-9DA323431EE1}"/>
            </a:ext>
          </a:extLst>
        </xdr:cNvPr>
        <xdr:cNvSpPr/>
      </xdr:nvSpPr>
      <xdr:spPr>
        <a:xfrm>
          <a:off x="7901940" y="4632960"/>
          <a:ext cx="274320" cy="266700"/>
        </a:xfrm>
        <a:prstGeom prst="ellipse">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289560</xdr:colOff>
      <xdr:row>13</xdr:row>
      <xdr:rowOff>0</xdr:rowOff>
    </xdr:from>
    <xdr:to>
      <xdr:col>13</xdr:col>
      <xdr:colOff>563880</xdr:colOff>
      <xdr:row>14</xdr:row>
      <xdr:rowOff>22860</xdr:rowOff>
    </xdr:to>
    <xdr:sp macro="" textlink="">
      <xdr:nvSpPr>
        <xdr:cNvPr id="24" name="Oval 23">
          <a:extLst>
            <a:ext uri="{FF2B5EF4-FFF2-40B4-BE49-F238E27FC236}">
              <a16:creationId xmlns:a16="http://schemas.microsoft.com/office/drawing/2014/main" id="{1CD93C1A-5203-4337-8030-BE286BCFA7EC}"/>
            </a:ext>
          </a:extLst>
        </xdr:cNvPr>
        <xdr:cNvSpPr/>
      </xdr:nvSpPr>
      <xdr:spPr>
        <a:xfrm>
          <a:off x="7909560" y="5074920"/>
          <a:ext cx="274320" cy="266700"/>
        </a:xfrm>
        <a:prstGeom prst="ellipse">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304800</xdr:colOff>
      <xdr:row>15</xdr:row>
      <xdr:rowOff>60960</xdr:rowOff>
    </xdr:from>
    <xdr:to>
      <xdr:col>13</xdr:col>
      <xdr:colOff>579120</xdr:colOff>
      <xdr:row>17</xdr:row>
      <xdr:rowOff>7620</xdr:rowOff>
    </xdr:to>
    <xdr:sp macro="" textlink="">
      <xdr:nvSpPr>
        <xdr:cNvPr id="25" name="Oval 24">
          <a:extLst>
            <a:ext uri="{FF2B5EF4-FFF2-40B4-BE49-F238E27FC236}">
              <a16:creationId xmlns:a16="http://schemas.microsoft.com/office/drawing/2014/main" id="{73C5C8F7-BA5E-47CF-944D-945594EF7D09}"/>
            </a:ext>
          </a:extLst>
        </xdr:cNvPr>
        <xdr:cNvSpPr/>
      </xdr:nvSpPr>
      <xdr:spPr>
        <a:xfrm>
          <a:off x="7924800" y="5455920"/>
          <a:ext cx="274320" cy="266700"/>
        </a:xfrm>
        <a:prstGeom prst="ellipse">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18</xdr:col>
      <xdr:colOff>167640</xdr:colOff>
      <xdr:row>6</xdr:row>
      <xdr:rowOff>106680</xdr:rowOff>
    </xdr:from>
    <xdr:to>
      <xdr:col>18</xdr:col>
      <xdr:colOff>594360</xdr:colOff>
      <xdr:row>8</xdr:row>
      <xdr:rowOff>106680</xdr:rowOff>
    </xdr:to>
    <xdr:pic>
      <xdr:nvPicPr>
        <xdr:cNvPr id="26" name="Graphic 25" descr="Chevron arrows with solid fill">
          <a:extLst>
            <a:ext uri="{FF2B5EF4-FFF2-40B4-BE49-F238E27FC236}">
              <a16:creationId xmlns:a16="http://schemas.microsoft.com/office/drawing/2014/main" id="{CE4B826C-DCD3-44DD-AE9C-E9555F1575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835640" y="3657600"/>
          <a:ext cx="426720" cy="426720"/>
        </a:xfrm>
        <a:prstGeom prst="rect">
          <a:avLst/>
        </a:prstGeom>
      </xdr:spPr>
    </xdr:pic>
    <xdr:clientData/>
  </xdr:twoCellAnchor>
  <xdr:twoCellAnchor editAs="oneCell">
    <xdr:from>
      <xdr:col>18</xdr:col>
      <xdr:colOff>160020</xdr:colOff>
      <xdr:row>8</xdr:row>
      <xdr:rowOff>76200</xdr:rowOff>
    </xdr:from>
    <xdr:to>
      <xdr:col>18</xdr:col>
      <xdr:colOff>586740</xdr:colOff>
      <xdr:row>10</xdr:row>
      <xdr:rowOff>76200</xdr:rowOff>
    </xdr:to>
    <xdr:pic>
      <xdr:nvPicPr>
        <xdr:cNvPr id="27" name="Graphic 26" descr="Chevron arrows with solid fill">
          <a:extLst>
            <a:ext uri="{FF2B5EF4-FFF2-40B4-BE49-F238E27FC236}">
              <a16:creationId xmlns:a16="http://schemas.microsoft.com/office/drawing/2014/main" id="{C863B9A5-BF44-472D-8598-C4032C5DCE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828020" y="4053840"/>
          <a:ext cx="426720" cy="426720"/>
        </a:xfrm>
        <a:prstGeom prst="rect">
          <a:avLst/>
        </a:prstGeom>
      </xdr:spPr>
    </xdr:pic>
    <xdr:clientData/>
  </xdr:twoCellAnchor>
  <xdr:twoCellAnchor editAs="oneCell">
    <xdr:from>
      <xdr:col>18</xdr:col>
      <xdr:colOff>160020</xdr:colOff>
      <xdr:row>10</xdr:row>
      <xdr:rowOff>106680</xdr:rowOff>
    </xdr:from>
    <xdr:to>
      <xdr:col>18</xdr:col>
      <xdr:colOff>586740</xdr:colOff>
      <xdr:row>12</xdr:row>
      <xdr:rowOff>45720</xdr:rowOff>
    </xdr:to>
    <xdr:pic>
      <xdr:nvPicPr>
        <xdr:cNvPr id="30" name="Graphic 29" descr="Chevron arrows with solid fill">
          <a:extLst>
            <a:ext uri="{FF2B5EF4-FFF2-40B4-BE49-F238E27FC236}">
              <a16:creationId xmlns:a16="http://schemas.microsoft.com/office/drawing/2014/main" id="{4937F839-3FB4-46B9-8676-FE31AD82BC3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828020" y="4511040"/>
          <a:ext cx="426720" cy="426720"/>
        </a:xfrm>
        <a:prstGeom prst="rect">
          <a:avLst/>
        </a:prstGeom>
      </xdr:spPr>
    </xdr:pic>
    <xdr:clientData/>
  </xdr:twoCellAnchor>
  <xdr:twoCellAnchor editAs="oneCell">
    <xdr:from>
      <xdr:col>18</xdr:col>
      <xdr:colOff>129540</xdr:colOff>
      <xdr:row>13</xdr:row>
      <xdr:rowOff>213360</xdr:rowOff>
    </xdr:from>
    <xdr:to>
      <xdr:col>18</xdr:col>
      <xdr:colOff>556260</xdr:colOff>
      <xdr:row>17</xdr:row>
      <xdr:rowOff>0</xdr:rowOff>
    </xdr:to>
    <xdr:pic>
      <xdr:nvPicPr>
        <xdr:cNvPr id="32" name="Graphic 31" descr="Chevron arrows with solid fill">
          <a:extLst>
            <a:ext uri="{FF2B5EF4-FFF2-40B4-BE49-F238E27FC236}">
              <a16:creationId xmlns:a16="http://schemas.microsoft.com/office/drawing/2014/main" id="{551BEC04-6284-40E2-A4AD-96B6A45182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7540" y="5288280"/>
          <a:ext cx="426720" cy="426720"/>
        </a:xfrm>
        <a:prstGeom prst="rect">
          <a:avLst/>
        </a:prstGeom>
      </xdr:spPr>
    </xdr:pic>
    <xdr:clientData/>
  </xdr:twoCellAnchor>
  <xdr:oneCellAnchor>
    <xdr:from>
      <xdr:col>18</xdr:col>
      <xdr:colOff>152400</xdr:colOff>
      <xdr:row>12</xdr:row>
      <xdr:rowOff>15240</xdr:rowOff>
    </xdr:from>
    <xdr:ext cx="426720" cy="426720"/>
    <xdr:pic>
      <xdr:nvPicPr>
        <xdr:cNvPr id="33" name="Graphic 32" descr="Chevron arrows with solid fill">
          <a:extLst>
            <a:ext uri="{FF2B5EF4-FFF2-40B4-BE49-F238E27FC236}">
              <a16:creationId xmlns:a16="http://schemas.microsoft.com/office/drawing/2014/main" id="{AD77AB9A-DBEF-4FF1-91EC-97A056E468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820400" y="4907280"/>
          <a:ext cx="426720" cy="42672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152400</xdr:colOff>
      <xdr:row>34</xdr:row>
      <xdr:rowOff>60960</xdr:rowOff>
    </xdr:to>
    <xdr:sp macro="" textlink="">
      <xdr:nvSpPr>
        <xdr:cNvPr id="2" name="Rectangle 1">
          <a:extLst>
            <a:ext uri="{FF2B5EF4-FFF2-40B4-BE49-F238E27FC236}">
              <a16:creationId xmlns:a16="http://schemas.microsoft.com/office/drawing/2014/main" id="{3C50A4C5-DF82-4BA6-B511-C3F8FF6FD8EC}"/>
            </a:ext>
          </a:extLst>
        </xdr:cNvPr>
        <xdr:cNvSpPr/>
      </xdr:nvSpPr>
      <xdr:spPr>
        <a:xfrm>
          <a:off x="0" y="0"/>
          <a:ext cx="152400" cy="8397240"/>
        </a:xfrm>
        <a:prstGeom prst="rect">
          <a:avLst/>
        </a:prstGeom>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solidFill>
            <a:schemeClr val="tx1"/>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464820</xdr:colOff>
      <xdr:row>0</xdr:row>
      <xdr:rowOff>45720</xdr:rowOff>
    </xdr:from>
    <xdr:to>
      <xdr:col>0</xdr:col>
      <xdr:colOff>464820</xdr:colOff>
      <xdr:row>18</xdr:row>
      <xdr:rowOff>60960</xdr:rowOff>
    </xdr:to>
    <xdr:cxnSp macro="">
      <xdr:nvCxnSpPr>
        <xdr:cNvPr id="4" name="Straight Connector 3">
          <a:extLst>
            <a:ext uri="{FF2B5EF4-FFF2-40B4-BE49-F238E27FC236}">
              <a16:creationId xmlns:a16="http://schemas.microsoft.com/office/drawing/2014/main" id="{F2BCB42D-4F79-B40B-8439-1CDD1363E071}"/>
            </a:ext>
          </a:extLst>
        </xdr:cNvPr>
        <xdr:cNvCxnSpPr/>
      </xdr:nvCxnSpPr>
      <xdr:spPr>
        <a:xfrm>
          <a:off x="464820" y="45720"/>
          <a:ext cx="0" cy="542544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312420</xdr:colOff>
      <xdr:row>1</xdr:row>
      <xdr:rowOff>38100</xdr:rowOff>
    </xdr:from>
    <xdr:to>
      <xdr:col>2</xdr:col>
      <xdr:colOff>38100</xdr:colOff>
      <xdr:row>1</xdr:row>
      <xdr:rowOff>53340</xdr:rowOff>
    </xdr:to>
    <xdr:cxnSp macro="">
      <xdr:nvCxnSpPr>
        <xdr:cNvPr id="6" name="Straight Connector 5">
          <a:extLst>
            <a:ext uri="{FF2B5EF4-FFF2-40B4-BE49-F238E27FC236}">
              <a16:creationId xmlns:a16="http://schemas.microsoft.com/office/drawing/2014/main" id="{229B46C5-5A0F-E23B-71DB-FFFFFDF8F6C0}"/>
            </a:ext>
          </a:extLst>
        </xdr:cNvPr>
        <xdr:cNvCxnSpPr/>
      </xdr:nvCxnSpPr>
      <xdr:spPr>
        <a:xfrm flipV="1">
          <a:off x="312420" y="220980"/>
          <a:ext cx="944880" cy="1524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586740</xdr:colOff>
      <xdr:row>9</xdr:row>
      <xdr:rowOff>121921</xdr:rowOff>
    </xdr:from>
    <xdr:to>
      <xdr:col>7</xdr:col>
      <xdr:colOff>556260</xdr:colOff>
      <xdr:row>15</xdr:row>
      <xdr:rowOff>137160</xdr:rowOff>
    </xdr:to>
    <xdr:sp macro="" textlink="">
      <xdr:nvSpPr>
        <xdr:cNvPr id="10" name="TextBox 9">
          <a:extLst>
            <a:ext uri="{FF2B5EF4-FFF2-40B4-BE49-F238E27FC236}">
              <a16:creationId xmlns:a16="http://schemas.microsoft.com/office/drawing/2014/main" id="{D66FB083-6D37-2C1F-9CDF-4F60DB8EA01F}"/>
            </a:ext>
          </a:extLst>
        </xdr:cNvPr>
        <xdr:cNvSpPr txBox="1"/>
      </xdr:nvSpPr>
      <xdr:spPr>
        <a:xfrm>
          <a:off x="586740" y="3992881"/>
          <a:ext cx="4236720" cy="1112519"/>
        </a:xfrm>
        <a:prstGeom prst="rect">
          <a:avLst/>
        </a:prstGeom>
        <a:solidFill>
          <a:srgbClr val="0D0F18"/>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l"/>
          <a:r>
            <a:rPr lang="en-IN" sz="1200" i="0">
              <a:solidFill>
                <a:srgbClr val="C9A84C"/>
              </a:solidFill>
              <a:latin typeface="Crimson Pro" pitchFamily="2" charset="0"/>
            </a:rPr>
            <a:t>This project analyzes sales performance data of a retail apparel store based in Bangalore, covering 140 orders across 10 cities and 23 product categories  from premium Sarees to casual wear</a:t>
          </a:r>
          <a:r>
            <a:rPr lang="en-IN" sz="1200" i="0" baseline="0">
              <a:solidFill>
                <a:srgbClr val="C9A84C"/>
              </a:solidFill>
              <a:latin typeface="Crimson Pro" pitchFamily="2" charset="0"/>
            </a:rPr>
            <a:t> </a:t>
          </a:r>
          <a:r>
            <a:rPr lang="en-IN" sz="1200" i="0">
              <a:solidFill>
                <a:srgbClr val="C9A84C"/>
              </a:solidFill>
              <a:latin typeface="Crimson Pro" pitchFamily="2" charset="0"/>
            </a:rPr>
            <a:t> to uncover revenue patterns, customer behavior, and inventory performance.</a:t>
          </a:r>
        </a:p>
      </xdr:txBody>
    </xdr:sp>
    <xdr:clientData/>
  </xdr:twoCellAnchor>
  <xdr:twoCellAnchor>
    <xdr:from>
      <xdr:col>0</xdr:col>
      <xdr:colOff>533400</xdr:colOff>
      <xdr:row>8</xdr:row>
      <xdr:rowOff>251460</xdr:rowOff>
    </xdr:from>
    <xdr:to>
      <xdr:col>0</xdr:col>
      <xdr:colOff>601980</xdr:colOff>
      <xdr:row>15</xdr:row>
      <xdr:rowOff>121920</xdr:rowOff>
    </xdr:to>
    <xdr:sp macro="" textlink="">
      <xdr:nvSpPr>
        <xdr:cNvPr id="16" name="Rectangle 15">
          <a:extLst>
            <a:ext uri="{FF2B5EF4-FFF2-40B4-BE49-F238E27FC236}">
              <a16:creationId xmlns:a16="http://schemas.microsoft.com/office/drawing/2014/main" id="{748ADAAA-DF1F-124B-6CE3-1BD790455AA5}"/>
            </a:ext>
          </a:extLst>
        </xdr:cNvPr>
        <xdr:cNvSpPr/>
      </xdr:nvSpPr>
      <xdr:spPr>
        <a:xfrm>
          <a:off x="533400" y="3832860"/>
          <a:ext cx="68580" cy="1257300"/>
        </a:xfrm>
        <a:prstGeom prst="rect">
          <a:avLst/>
        </a:prstGeom>
        <a:solidFill>
          <a:srgbClr val="FFCA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426720</xdr:colOff>
      <xdr:row>9</xdr:row>
      <xdr:rowOff>7620</xdr:rowOff>
    </xdr:from>
    <xdr:to>
      <xdr:col>7</xdr:col>
      <xdr:colOff>495300</xdr:colOff>
      <xdr:row>15</xdr:row>
      <xdr:rowOff>167640</xdr:rowOff>
    </xdr:to>
    <xdr:sp macro="" textlink="">
      <xdr:nvSpPr>
        <xdr:cNvPr id="17" name="Rectangle 16">
          <a:extLst>
            <a:ext uri="{FF2B5EF4-FFF2-40B4-BE49-F238E27FC236}">
              <a16:creationId xmlns:a16="http://schemas.microsoft.com/office/drawing/2014/main" id="{73572CEF-B20B-426E-8273-4D49DF3B45CD}"/>
            </a:ext>
          </a:extLst>
        </xdr:cNvPr>
        <xdr:cNvSpPr/>
      </xdr:nvSpPr>
      <xdr:spPr>
        <a:xfrm>
          <a:off x="4693920" y="3878580"/>
          <a:ext cx="68580" cy="1257300"/>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xdr:colOff>
      <xdr:row>8</xdr:row>
      <xdr:rowOff>228600</xdr:rowOff>
    </xdr:from>
    <xdr:to>
      <xdr:col>5</xdr:col>
      <xdr:colOff>167640</xdr:colOff>
      <xdr:row>8</xdr:row>
      <xdr:rowOff>228600</xdr:rowOff>
    </xdr:to>
    <xdr:cxnSp macro="">
      <xdr:nvCxnSpPr>
        <xdr:cNvPr id="19" name="Straight Connector 18">
          <a:extLst>
            <a:ext uri="{FF2B5EF4-FFF2-40B4-BE49-F238E27FC236}">
              <a16:creationId xmlns:a16="http://schemas.microsoft.com/office/drawing/2014/main" id="{1648F142-3299-0814-426A-ADA3E8FBF80C}"/>
            </a:ext>
          </a:extLst>
        </xdr:cNvPr>
        <xdr:cNvCxnSpPr/>
      </xdr:nvCxnSpPr>
      <xdr:spPr>
        <a:xfrm>
          <a:off x="2476500" y="3810000"/>
          <a:ext cx="739140" cy="0"/>
        </a:xfrm>
        <a:prstGeom prst="line">
          <a:avLst/>
        </a:prstGeom>
        <a:ln>
          <a:solidFill>
            <a:srgbClr val="080B1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0</xdr:colOff>
      <xdr:row>8</xdr:row>
      <xdr:rowOff>259080</xdr:rowOff>
    </xdr:from>
    <xdr:to>
      <xdr:col>23</xdr:col>
      <xdr:colOff>68580</xdr:colOff>
      <xdr:row>18</xdr:row>
      <xdr:rowOff>152400</xdr:rowOff>
    </xdr:to>
    <xdr:sp macro="" textlink="">
      <xdr:nvSpPr>
        <xdr:cNvPr id="3" name="TextBox 2">
          <a:extLst>
            <a:ext uri="{FF2B5EF4-FFF2-40B4-BE49-F238E27FC236}">
              <a16:creationId xmlns:a16="http://schemas.microsoft.com/office/drawing/2014/main" id="{B4AA4A02-A9C4-3F6D-154C-C0E008D95480}"/>
            </a:ext>
          </a:extLst>
        </xdr:cNvPr>
        <xdr:cNvSpPr txBox="1"/>
      </xdr:nvSpPr>
      <xdr:spPr>
        <a:xfrm>
          <a:off x="9639300" y="3840480"/>
          <a:ext cx="4335780" cy="1844040"/>
        </a:xfrm>
        <a:prstGeom prst="rect">
          <a:avLst/>
        </a:prstGeom>
        <a:solidFill>
          <a:srgbClr val="0D0F1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i="0">
              <a:solidFill>
                <a:schemeClr val="bg2"/>
              </a:solidFill>
              <a:latin typeface="Crimson Pro" pitchFamily="2" charset="0"/>
              <a:ea typeface="+mn-ea"/>
              <a:cs typeface="+mn-cs"/>
            </a:rPr>
            <a:t>This project is based on a real-world retail sales analysis project completed during an internship. To maintain data confidentiality and privacy, company identifiers and sensitive business information have been anonymized. The analysis, dashboard design, and insights presented reflect the original analytical workflow while adhering to professional data</a:t>
          </a:r>
          <a:r>
            <a:rPr lang="en-IN" sz="1100">
              <a:solidFill>
                <a:schemeClr val="bg2"/>
              </a:solidFill>
            </a:rPr>
            <a:t> </a:t>
          </a:r>
          <a:r>
            <a:rPr lang="en-IN" sz="1200" i="0">
              <a:solidFill>
                <a:schemeClr val="bg2"/>
              </a:solidFill>
              <a:latin typeface="Crimson Pro" pitchFamily="2" charset="0"/>
              <a:ea typeface="+mn-ea"/>
              <a:cs typeface="+mn-cs"/>
            </a:rPr>
            <a:t>privacy practices.adhering to professional data privacy practices. Due to these policies, the company also shared only a limited 3-month window with a fixed set of price tiers, rather than the full product catalog and pricing history.</a:t>
          </a:r>
        </a:p>
      </xdr:txBody>
    </xdr:sp>
    <xdr:clientData/>
  </xdr:twoCellAnchor>
  <xdr:twoCellAnchor>
    <xdr:from>
      <xdr:col>15</xdr:col>
      <xdr:colOff>533400</xdr:colOff>
      <xdr:row>9</xdr:row>
      <xdr:rowOff>83820</xdr:rowOff>
    </xdr:from>
    <xdr:to>
      <xdr:col>16</xdr:col>
      <xdr:colOff>15240</xdr:colOff>
      <xdr:row>18</xdr:row>
      <xdr:rowOff>0</xdr:rowOff>
    </xdr:to>
    <xdr:sp macro="" textlink="">
      <xdr:nvSpPr>
        <xdr:cNvPr id="5" name="Rectangle 4">
          <a:extLst>
            <a:ext uri="{FF2B5EF4-FFF2-40B4-BE49-F238E27FC236}">
              <a16:creationId xmlns:a16="http://schemas.microsoft.com/office/drawing/2014/main" id="{94DFF5FF-068F-4001-8765-E7B7FF990720}"/>
            </a:ext>
          </a:extLst>
        </xdr:cNvPr>
        <xdr:cNvSpPr/>
      </xdr:nvSpPr>
      <xdr:spPr>
        <a:xfrm>
          <a:off x="9563100" y="3954780"/>
          <a:ext cx="91440" cy="1577340"/>
        </a:xfrm>
        <a:prstGeom prst="rect">
          <a:avLst/>
        </a:prstGeom>
        <a:solidFill>
          <a:srgbClr val="FFCA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586740</xdr:colOff>
      <xdr:row>8</xdr:row>
      <xdr:rowOff>228600</xdr:rowOff>
    </xdr:from>
    <xdr:to>
      <xdr:col>23</xdr:col>
      <xdr:colOff>114300</xdr:colOff>
      <xdr:row>17</xdr:row>
      <xdr:rowOff>167640</xdr:rowOff>
    </xdr:to>
    <xdr:sp macro="" textlink="">
      <xdr:nvSpPr>
        <xdr:cNvPr id="7" name="Rectangle 6">
          <a:extLst>
            <a:ext uri="{FF2B5EF4-FFF2-40B4-BE49-F238E27FC236}">
              <a16:creationId xmlns:a16="http://schemas.microsoft.com/office/drawing/2014/main" id="{6D8AEFE8-F3BB-4AAF-A2B8-4C49A77BB037}"/>
            </a:ext>
          </a:extLst>
        </xdr:cNvPr>
        <xdr:cNvSpPr/>
      </xdr:nvSpPr>
      <xdr:spPr>
        <a:xfrm>
          <a:off x="13883640" y="3810000"/>
          <a:ext cx="137160" cy="1706880"/>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411480</xdr:colOff>
      <xdr:row>3</xdr:row>
      <xdr:rowOff>175260</xdr:rowOff>
    </xdr:from>
    <xdr:to>
      <xdr:col>20</xdr:col>
      <xdr:colOff>266700</xdr:colOff>
      <xdr:row>4</xdr:row>
      <xdr:rowOff>350520</xdr:rowOff>
    </xdr:to>
    <xdr:sp macro="" textlink="">
      <xdr:nvSpPr>
        <xdr:cNvPr id="8" name="TextBox 7">
          <a:extLst>
            <a:ext uri="{FF2B5EF4-FFF2-40B4-BE49-F238E27FC236}">
              <a16:creationId xmlns:a16="http://schemas.microsoft.com/office/drawing/2014/main" id="{F86548B1-05CB-FF7E-36B1-D5AC43190C42}"/>
            </a:ext>
          </a:extLst>
        </xdr:cNvPr>
        <xdr:cNvSpPr txBox="1"/>
      </xdr:nvSpPr>
      <xdr:spPr>
        <a:xfrm>
          <a:off x="9555480" y="723900"/>
          <a:ext cx="2903220" cy="35814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i="0">
              <a:solidFill>
                <a:srgbClr val="C9A84C"/>
              </a:solidFill>
              <a:latin typeface="Crimson Pro" pitchFamily="2" charset="0"/>
              <a:ea typeface="+mn-ea"/>
              <a:cs typeface="+mn-cs"/>
            </a:rPr>
            <a:t>TOTAL</a:t>
          </a:r>
          <a:r>
            <a:rPr lang="en-IN" sz="1100" baseline="0"/>
            <a:t> </a:t>
          </a:r>
          <a:r>
            <a:rPr lang="en-IN" sz="1200" i="0">
              <a:solidFill>
                <a:srgbClr val="C9A84C"/>
              </a:solidFill>
              <a:latin typeface="Crimson Pro" pitchFamily="2" charset="0"/>
              <a:ea typeface="+mn-ea"/>
              <a:cs typeface="+mn-cs"/>
            </a:rPr>
            <a:t>REVENUE                   </a:t>
          </a:r>
          <a:r>
            <a:rPr lang="en-IN" sz="2000" b="1" i="0">
              <a:solidFill>
                <a:srgbClr val="C9A84C"/>
              </a:solidFill>
              <a:effectLst/>
              <a:latin typeface="+mn-lt"/>
              <a:ea typeface="+mn-ea"/>
              <a:cs typeface="+mn-cs"/>
            </a:rPr>
            <a:t>₹</a:t>
          </a:r>
          <a:r>
            <a:rPr lang="en-IN" sz="2000" b="1" i="0">
              <a:solidFill>
                <a:srgbClr val="C9A84C"/>
              </a:solidFill>
              <a:latin typeface="Crimson Pro" pitchFamily="2" charset="0"/>
              <a:ea typeface="+mn-ea"/>
              <a:cs typeface="+mn-cs"/>
            </a:rPr>
            <a:t>6,61,472</a:t>
          </a:r>
        </a:p>
      </xdr:txBody>
    </xdr:sp>
    <xdr:clientData/>
  </xdr:twoCellAnchor>
  <xdr:twoCellAnchor>
    <xdr:from>
      <xdr:col>15</xdr:col>
      <xdr:colOff>419100</xdr:colOff>
      <xdr:row>4</xdr:row>
      <xdr:rowOff>434340</xdr:rowOff>
    </xdr:from>
    <xdr:to>
      <xdr:col>20</xdr:col>
      <xdr:colOff>266700</xdr:colOff>
      <xdr:row>4</xdr:row>
      <xdr:rowOff>754380</xdr:rowOff>
    </xdr:to>
    <xdr:sp macro="" textlink="">
      <xdr:nvSpPr>
        <xdr:cNvPr id="9" name="TextBox 8">
          <a:extLst>
            <a:ext uri="{FF2B5EF4-FFF2-40B4-BE49-F238E27FC236}">
              <a16:creationId xmlns:a16="http://schemas.microsoft.com/office/drawing/2014/main" id="{719B3C5C-70CD-4909-6DAD-0C0722546872}"/>
            </a:ext>
          </a:extLst>
        </xdr:cNvPr>
        <xdr:cNvSpPr txBox="1"/>
      </xdr:nvSpPr>
      <xdr:spPr>
        <a:xfrm>
          <a:off x="9563100" y="1165860"/>
          <a:ext cx="2895600" cy="32004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i="0">
              <a:solidFill>
                <a:srgbClr val="C9A84C"/>
              </a:solidFill>
              <a:latin typeface="Crimson Pro" pitchFamily="2" charset="0"/>
              <a:ea typeface="+mn-ea"/>
              <a:cs typeface="+mn-cs"/>
            </a:rPr>
            <a:t>TOTAL</a:t>
          </a:r>
          <a:r>
            <a:rPr lang="en-IN" sz="1100"/>
            <a:t> </a:t>
          </a:r>
          <a:r>
            <a:rPr lang="en-IN" sz="1200" i="0">
              <a:solidFill>
                <a:srgbClr val="C9A84C"/>
              </a:solidFill>
              <a:latin typeface="Crimson Pro" pitchFamily="2" charset="0"/>
              <a:ea typeface="+mn-ea"/>
              <a:cs typeface="+mn-cs"/>
            </a:rPr>
            <a:t>ORDERS                     </a:t>
          </a:r>
          <a:r>
            <a:rPr lang="en-IN" sz="2000" b="1" i="0">
              <a:solidFill>
                <a:srgbClr val="C9A84C"/>
              </a:solidFill>
              <a:latin typeface="Crimson Pro" pitchFamily="2" charset="0"/>
              <a:ea typeface="+mn-ea"/>
              <a:cs typeface="+mn-cs"/>
            </a:rPr>
            <a:t>140</a:t>
          </a:r>
        </a:p>
      </xdr:txBody>
    </xdr:sp>
    <xdr:clientData/>
  </xdr:twoCellAnchor>
  <xdr:twoCellAnchor>
    <xdr:from>
      <xdr:col>15</xdr:col>
      <xdr:colOff>411480</xdr:colOff>
      <xdr:row>4</xdr:row>
      <xdr:rowOff>838200</xdr:rowOff>
    </xdr:from>
    <xdr:to>
      <xdr:col>20</xdr:col>
      <xdr:colOff>274320</xdr:colOff>
      <xdr:row>4</xdr:row>
      <xdr:rowOff>1203960</xdr:rowOff>
    </xdr:to>
    <xdr:sp macro="" textlink="">
      <xdr:nvSpPr>
        <xdr:cNvPr id="11" name="TextBox 10">
          <a:extLst>
            <a:ext uri="{FF2B5EF4-FFF2-40B4-BE49-F238E27FC236}">
              <a16:creationId xmlns:a16="http://schemas.microsoft.com/office/drawing/2014/main" id="{75C9E9DD-E368-A063-FABE-C9524F288480}"/>
            </a:ext>
          </a:extLst>
        </xdr:cNvPr>
        <xdr:cNvSpPr txBox="1"/>
      </xdr:nvSpPr>
      <xdr:spPr>
        <a:xfrm>
          <a:off x="9555480" y="1569720"/>
          <a:ext cx="2910840" cy="36576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i="0">
              <a:solidFill>
                <a:srgbClr val="C9A84C"/>
              </a:solidFill>
              <a:latin typeface="Crimson Pro" pitchFamily="2" charset="0"/>
              <a:ea typeface="+mn-ea"/>
              <a:cs typeface="+mn-cs"/>
            </a:rPr>
            <a:t>AVG ORDER</a:t>
          </a:r>
          <a:r>
            <a:rPr lang="en-IN" sz="1200" i="0" baseline="0">
              <a:solidFill>
                <a:srgbClr val="C9A84C"/>
              </a:solidFill>
              <a:latin typeface="Crimson Pro" pitchFamily="2" charset="0"/>
              <a:ea typeface="+mn-ea"/>
              <a:cs typeface="+mn-cs"/>
            </a:rPr>
            <a:t> VALUE              </a:t>
          </a:r>
          <a:r>
            <a:rPr lang="en-IN" sz="2000" b="1" i="0">
              <a:solidFill>
                <a:srgbClr val="C9A84C"/>
              </a:solidFill>
              <a:effectLst/>
              <a:latin typeface="+mn-lt"/>
              <a:ea typeface="+mn-ea"/>
              <a:cs typeface="+mn-cs"/>
            </a:rPr>
            <a:t>₹4,725</a:t>
          </a:r>
          <a:endParaRPr lang="en-IN" sz="2000" b="1" i="0">
            <a:solidFill>
              <a:srgbClr val="C9A84C"/>
            </a:solidFill>
            <a:latin typeface="Crimson Pro" pitchFamily="2" charset="0"/>
            <a:ea typeface="+mn-ea"/>
            <a:cs typeface="+mn-cs"/>
          </a:endParaRPr>
        </a:p>
      </xdr:txBody>
    </xdr:sp>
    <xdr:clientData/>
  </xdr:twoCellAnchor>
  <xdr:twoCellAnchor>
    <xdr:from>
      <xdr:col>15</xdr:col>
      <xdr:colOff>419100</xdr:colOff>
      <xdr:row>5</xdr:row>
      <xdr:rowOff>76200</xdr:rowOff>
    </xdr:from>
    <xdr:to>
      <xdr:col>20</xdr:col>
      <xdr:colOff>259080</xdr:colOff>
      <xdr:row>6</xdr:row>
      <xdr:rowOff>243840</xdr:rowOff>
    </xdr:to>
    <xdr:sp macro="" textlink="">
      <xdr:nvSpPr>
        <xdr:cNvPr id="12" name="TextBox 11">
          <a:extLst>
            <a:ext uri="{FF2B5EF4-FFF2-40B4-BE49-F238E27FC236}">
              <a16:creationId xmlns:a16="http://schemas.microsoft.com/office/drawing/2014/main" id="{24F8B43A-DBA1-E47A-9826-A362FF069F4C}"/>
            </a:ext>
          </a:extLst>
        </xdr:cNvPr>
        <xdr:cNvSpPr txBox="1"/>
      </xdr:nvSpPr>
      <xdr:spPr>
        <a:xfrm>
          <a:off x="9563100" y="2049780"/>
          <a:ext cx="2887980" cy="35052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9A84C"/>
              </a:solidFill>
              <a:latin typeface="Crimson Pro" pitchFamily="2" charset="0"/>
            </a:rPr>
            <a:t>CITIES</a:t>
          </a:r>
          <a:r>
            <a:rPr lang="en-IN" sz="1200" baseline="0">
              <a:solidFill>
                <a:srgbClr val="C9A84C"/>
              </a:solidFill>
              <a:latin typeface="Crimson Pro" pitchFamily="2" charset="0"/>
            </a:rPr>
            <a:t> COVERED             </a:t>
          </a:r>
          <a:r>
            <a:rPr lang="en-IN" sz="2000" b="1" baseline="0">
              <a:solidFill>
                <a:srgbClr val="C9A84C"/>
              </a:solidFill>
              <a:latin typeface="Crimson Pro" pitchFamily="2" charset="0"/>
            </a:rPr>
            <a:t>     10</a:t>
          </a:r>
          <a:endParaRPr lang="en-IN" sz="2000" b="1">
            <a:solidFill>
              <a:srgbClr val="C9A84C"/>
            </a:solidFill>
            <a:latin typeface="Crimson Pro" pitchFamily="2" charset="0"/>
          </a:endParaRPr>
        </a:p>
      </xdr:txBody>
    </xdr:sp>
    <xdr:clientData/>
  </xdr:twoCellAnchor>
  <xdr:twoCellAnchor>
    <xdr:from>
      <xdr:col>15</xdr:col>
      <xdr:colOff>411480</xdr:colOff>
      <xdr:row>6</xdr:row>
      <xdr:rowOff>396240</xdr:rowOff>
    </xdr:from>
    <xdr:to>
      <xdr:col>20</xdr:col>
      <xdr:colOff>243840</xdr:colOff>
      <xdr:row>6</xdr:row>
      <xdr:rowOff>739140</xdr:rowOff>
    </xdr:to>
    <xdr:sp macro="" textlink="">
      <xdr:nvSpPr>
        <xdr:cNvPr id="13" name="TextBox 12">
          <a:extLst>
            <a:ext uri="{FF2B5EF4-FFF2-40B4-BE49-F238E27FC236}">
              <a16:creationId xmlns:a16="http://schemas.microsoft.com/office/drawing/2014/main" id="{59B63B5F-07CD-AD51-E789-F25B7CA68F8A}"/>
            </a:ext>
          </a:extLst>
        </xdr:cNvPr>
        <xdr:cNvSpPr txBox="1"/>
      </xdr:nvSpPr>
      <xdr:spPr>
        <a:xfrm>
          <a:off x="9555480" y="2552700"/>
          <a:ext cx="2880360" cy="34290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9A84C"/>
              </a:solidFill>
              <a:latin typeface="Crimson Pro" pitchFamily="2" charset="0"/>
            </a:rPr>
            <a:t>CATEGORIES                              </a:t>
          </a:r>
          <a:r>
            <a:rPr lang="en-IN" sz="2000" b="1">
              <a:solidFill>
                <a:srgbClr val="C9A84C"/>
              </a:solidFill>
              <a:latin typeface="Crimson Pro" pitchFamily="2" charset="0"/>
            </a:rPr>
            <a:t>23</a:t>
          </a:r>
        </a:p>
      </xdr:txBody>
    </xdr:sp>
    <xdr:clientData/>
  </xdr:twoCellAnchor>
  <xdr:twoCellAnchor>
    <xdr:from>
      <xdr:col>15</xdr:col>
      <xdr:colOff>365758</xdr:colOff>
      <xdr:row>3</xdr:row>
      <xdr:rowOff>175260</xdr:rowOff>
    </xdr:from>
    <xdr:to>
      <xdr:col>15</xdr:col>
      <xdr:colOff>411477</xdr:colOff>
      <xdr:row>4</xdr:row>
      <xdr:rowOff>365760</xdr:rowOff>
    </xdr:to>
    <xdr:sp macro="" textlink="">
      <xdr:nvSpPr>
        <xdr:cNvPr id="14" name="Rectangle 13">
          <a:extLst>
            <a:ext uri="{FF2B5EF4-FFF2-40B4-BE49-F238E27FC236}">
              <a16:creationId xmlns:a16="http://schemas.microsoft.com/office/drawing/2014/main" id="{E0858E35-8478-105A-B210-53DC794C2E7E}"/>
            </a:ext>
          </a:extLst>
        </xdr:cNvPr>
        <xdr:cNvSpPr/>
      </xdr:nvSpPr>
      <xdr:spPr>
        <a:xfrm flipH="1">
          <a:off x="9509758" y="723900"/>
          <a:ext cx="45719" cy="373380"/>
        </a:xfrm>
        <a:prstGeom prst="rect">
          <a:avLst/>
        </a:prstGeom>
        <a:solidFill>
          <a:srgbClr val="C9A8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365760</xdr:colOff>
      <xdr:row>4</xdr:row>
      <xdr:rowOff>830580</xdr:rowOff>
    </xdr:from>
    <xdr:to>
      <xdr:col>15</xdr:col>
      <xdr:colOff>411479</xdr:colOff>
      <xdr:row>4</xdr:row>
      <xdr:rowOff>1203960</xdr:rowOff>
    </xdr:to>
    <xdr:sp macro="" textlink="">
      <xdr:nvSpPr>
        <xdr:cNvPr id="15" name="Rectangle 14">
          <a:extLst>
            <a:ext uri="{FF2B5EF4-FFF2-40B4-BE49-F238E27FC236}">
              <a16:creationId xmlns:a16="http://schemas.microsoft.com/office/drawing/2014/main" id="{46A125A1-72BE-4AA3-B2C6-3A8DC29F12CB}"/>
            </a:ext>
          </a:extLst>
        </xdr:cNvPr>
        <xdr:cNvSpPr/>
      </xdr:nvSpPr>
      <xdr:spPr>
        <a:xfrm flipH="1">
          <a:off x="9509760" y="1562100"/>
          <a:ext cx="45719" cy="373380"/>
        </a:xfrm>
        <a:prstGeom prst="rect">
          <a:avLst/>
        </a:prstGeom>
        <a:solidFill>
          <a:srgbClr val="C9A8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373380</xdr:colOff>
      <xdr:row>4</xdr:row>
      <xdr:rowOff>419100</xdr:rowOff>
    </xdr:from>
    <xdr:to>
      <xdr:col>15</xdr:col>
      <xdr:colOff>419099</xdr:colOff>
      <xdr:row>4</xdr:row>
      <xdr:rowOff>792480</xdr:rowOff>
    </xdr:to>
    <xdr:sp macro="" textlink="">
      <xdr:nvSpPr>
        <xdr:cNvPr id="18" name="Rectangle 17">
          <a:extLst>
            <a:ext uri="{FF2B5EF4-FFF2-40B4-BE49-F238E27FC236}">
              <a16:creationId xmlns:a16="http://schemas.microsoft.com/office/drawing/2014/main" id="{BB6FDA96-81C6-4B30-9D6E-2C1516B868CF}"/>
            </a:ext>
          </a:extLst>
        </xdr:cNvPr>
        <xdr:cNvSpPr/>
      </xdr:nvSpPr>
      <xdr:spPr>
        <a:xfrm flipH="1">
          <a:off x="9517380" y="1150620"/>
          <a:ext cx="45719" cy="373380"/>
        </a:xfrm>
        <a:prstGeom prst="rect">
          <a:avLst/>
        </a:prstGeom>
        <a:solidFill>
          <a:srgbClr val="C9A8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373380</xdr:colOff>
      <xdr:row>5</xdr:row>
      <xdr:rowOff>68580</xdr:rowOff>
    </xdr:from>
    <xdr:to>
      <xdr:col>15</xdr:col>
      <xdr:colOff>419099</xdr:colOff>
      <xdr:row>6</xdr:row>
      <xdr:rowOff>259080</xdr:rowOff>
    </xdr:to>
    <xdr:sp macro="" textlink="">
      <xdr:nvSpPr>
        <xdr:cNvPr id="20" name="Rectangle 19">
          <a:extLst>
            <a:ext uri="{FF2B5EF4-FFF2-40B4-BE49-F238E27FC236}">
              <a16:creationId xmlns:a16="http://schemas.microsoft.com/office/drawing/2014/main" id="{F24EC497-8916-4B37-9D0F-47563AFDDCC3}"/>
            </a:ext>
          </a:extLst>
        </xdr:cNvPr>
        <xdr:cNvSpPr/>
      </xdr:nvSpPr>
      <xdr:spPr>
        <a:xfrm flipH="1">
          <a:off x="9517380" y="2042160"/>
          <a:ext cx="45719" cy="373380"/>
        </a:xfrm>
        <a:prstGeom prst="rect">
          <a:avLst/>
        </a:prstGeom>
        <a:solidFill>
          <a:srgbClr val="C9A8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373380</xdr:colOff>
      <xdr:row>6</xdr:row>
      <xdr:rowOff>381000</xdr:rowOff>
    </xdr:from>
    <xdr:to>
      <xdr:col>15</xdr:col>
      <xdr:colOff>419099</xdr:colOff>
      <xdr:row>6</xdr:row>
      <xdr:rowOff>754380</xdr:rowOff>
    </xdr:to>
    <xdr:sp macro="" textlink="">
      <xdr:nvSpPr>
        <xdr:cNvPr id="21" name="Rectangle 20">
          <a:extLst>
            <a:ext uri="{FF2B5EF4-FFF2-40B4-BE49-F238E27FC236}">
              <a16:creationId xmlns:a16="http://schemas.microsoft.com/office/drawing/2014/main" id="{75891425-8725-4FBC-BD79-D876CF573957}"/>
            </a:ext>
          </a:extLst>
        </xdr:cNvPr>
        <xdr:cNvSpPr/>
      </xdr:nvSpPr>
      <xdr:spPr>
        <a:xfrm flipH="1">
          <a:off x="9517380" y="2537460"/>
          <a:ext cx="45719" cy="373380"/>
        </a:xfrm>
        <a:prstGeom prst="rect">
          <a:avLst/>
        </a:prstGeom>
        <a:solidFill>
          <a:srgbClr val="C9A8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76200</xdr:colOff>
      <xdr:row>10</xdr:row>
      <xdr:rowOff>160020</xdr:rowOff>
    </xdr:from>
    <xdr:to>
      <xdr:col>10</xdr:col>
      <xdr:colOff>289560</xdr:colOff>
      <xdr:row>12</xdr:row>
      <xdr:rowOff>129540</xdr:rowOff>
    </xdr:to>
    <xdr:sp macro="" textlink="">
      <xdr:nvSpPr>
        <xdr:cNvPr id="22" name="TextBox 21">
          <a:extLst>
            <a:ext uri="{FF2B5EF4-FFF2-40B4-BE49-F238E27FC236}">
              <a16:creationId xmlns:a16="http://schemas.microsoft.com/office/drawing/2014/main" id="{AE932660-BC4D-4CDD-83EE-3CD7DF990873}"/>
            </a:ext>
          </a:extLst>
        </xdr:cNvPr>
        <xdr:cNvSpPr txBox="1"/>
      </xdr:nvSpPr>
      <xdr:spPr>
        <a:xfrm>
          <a:off x="5113020" y="4229100"/>
          <a:ext cx="1432560" cy="33528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CA21"/>
              </a:solidFill>
              <a:latin typeface="Crimson Pro" pitchFamily="2" charset="0"/>
            </a:rPr>
            <a:t>MICROSOFT  EXCEL</a:t>
          </a:r>
        </a:p>
      </xdr:txBody>
    </xdr:sp>
    <xdr:clientData/>
  </xdr:twoCellAnchor>
  <xdr:twoCellAnchor>
    <xdr:from>
      <xdr:col>10</xdr:col>
      <xdr:colOff>320040</xdr:colOff>
      <xdr:row>10</xdr:row>
      <xdr:rowOff>160021</xdr:rowOff>
    </xdr:from>
    <xdr:to>
      <xdr:col>12</xdr:col>
      <xdr:colOff>175260</xdr:colOff>
      <xdr:row>12</xdr:row>
      <xdr:rowOff>121920</xdr:rowOff>
    </xdr:to>
    <xdr:sp macro="" textlink="">
      <xdr:nvSpPr>
        <xdr:cNvPr id="23" name="TextBox 22">
          <a:extLst>
            <a:ext uri="{FF2B5EF4-FFF2-40B4-BE49-F238E27FC236}">
              <a16:creationId xmlns:a16="http://schemas.microsoft.com/office/drawing/2014/main" id="{6458A20F-DB04-7D94-F08A-A874AE5973BD}"/>
            </a:ext>
          </a:extLst>
        </xdr:cNvPr>
        <xdr:cNvSpPr txBox="1"/>
      </xdr:nvSpPr>
      <xdr:spPr>
        <a:xfrm>
          <a:off x="6225540" y="4229101"/>
          <a:ext cx="1074420" cy="327659"/>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CA21"/>
              </a:solidFill>
              <a:latin typeface="Crimson Pro" pitchFamily="2" charset="0"/>
            </a:rPr>
            <a:t>POWER</a:t>
          </a:r>
          <a:r>
            <a:rPr lang="en-IN" sz="1100" baseline="0">
              <a:solidFill>
                <a:srgbClr val="FFCA21"/>
              </a:solidFill>
              <a:latin typeface="Crimson Pro" pitchFamily="2" charset="0"/>
            </a:rPr>
            <a:t> QUERY</a:t>
          </a:r>
          <a:endParaRPr lang="en-IN" sz="1100">
            <a:solidFill>
              <a:srgbClr val="FFCA21"/>
            </a:solidFill>
            <a:latin typeface="Crimson Pro" pitchFamily="2" charset="0"/>
          </a:endParaRPr>
        </a:p>
      </xdr:txBody>
    </xdr:sp>
    <xdr:clientData/>
  </xdr:twoCellAnchor>
  <xdr:twoCellAnchor>
    <xdr:from>
      <xdr:col>12</xdr:col>
      <xdr:colOff>228600</xdr:colOff>
      <xdr:row>10</xdr:row>
      <xdr:rowOff>160020</xdr:rowOff>
    </xdr:from>
    <xdr:to>
      <xdr:col>14</xdr:col>
      <xdr:colOff>45720</xdr:colOff>
      <xdr:row>12</xdr:row>
      <xdr:rowOff>121920</xdr:rowOff>
    </xdr:to>
    <xdr:sp macro="" textlink="">
      <xdr:nvSpPr>
        <xdr:cNvPr id="24" name="TextBox 23">
          <a:extLst>
            <a:ext uri="{FF2B5EF4-FFF2-40B4-BE49-F238E27FC236}">
              <a16:creationId xmlns:a16="http://schemas.microsoft.com/office/drawing/2014/main" id="{10460C70-1D22-2454-FAB9-0BD0F123436D}"/>
            </a:ext>
          </a:extLst>
        </xdr:cNvPr>
        <xdr:cNvSpPr txBox="1"/>
      </xdr:nvSpPr>
      <xdr:spPr>
        <a:xfrm>
          <a:off x="7543800" y="4229100"/>
          <a:ext cx="1036320" cy="32766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CA21"/>
              </a:solidFill>
              <a:latin typeface="Crimson Pro" pitchFamily="2" charset="0"/>
            </a:rPr>
            <a:t>PIVOT</a:t>
          </a:r>
          <a:r>
            <a:rPr lang="en-IN" sz="1100" baseline="0">
              <a:solidFill>
                <a:srgbClr val="FFCA21"/>
              </a:solidFill>
              <a:latin typeface="Crimson Pro" pitchFamily="2" charset="0"/>
            </a:rPr>
            <a:t> TABLES</a:t>
          </a:r>
          <a:endParaRPr lang="en-IN" sz="1100">
            <a:solidFill>
              <a:srgbClr val="FFCA21"/>
            </a:solidFill>
            <a:latin typeface="Crimson Pro" pitchFamily="2" charset="0"/>
          </a:endParaRPr>
        </a:p>
      </xdr:txBody>
    </xdr:sp>
    <xdr:clientData/>
  </xdr:twoCellAnchor>
  <xdr:twoCellAnchor>
    <xdr:from>
      <xdr:col>14</xdr:col>
      <xdr:colOff>137160</xdr:colOff>
      <xdr:row>10</xdr:row>
      <xdr:rowOff>152400</xdr:rowOff>
    </xdr:from>
    <xdr:to>
      <xdr:col>15</xdr:col>
      <xdr:colOff>403860</xdr:colOff>
      <xdr:row>12</xdr:row>
      <xdr:rowOff>106680</xdr:rowOff>
    </xdr:to>
    <xdr:sp macro="" textlink="">
      <xdr:nvSpPr>
        <xdr:cNvPr id="25" name="TextBox 24">
          <a:extLst>
            <a:ext uri="{FF2B5EF4-FFF2-40B4-BE49-F238E27FC236}">
              <a16:creationId xmlns:a16="http://schemas.microsoft.com/office/drawing/2014/main" id="{B1DAC122-83B7-50A0-F4A2-66A0ECBD9EEF}"/>
            </a:ext>
          </a:extLst>
        </xdr:cNvPr>
        <xdr:cNvSpPr txBox="1"/>
      </xdr:nvSpPr>
      <xdr:spPr>
        <a:xfrm>
          <a:off x="8671560" y="4221480"/>
          <a:ext cx="876300" cy="32004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CA21"/>
              </a:solidFill>
              <a:latin typeface="Crimson Pro" pitchFamily="2" charset="0"/>
            </a:rPr>
            <a:t>SLICERS</a:t>
          </a:r>
        </a:p>
      </xdr:txBody>
    </xdr:sp>
    <xdr:clientData/>
  </xdr:twoCellAnchor>
  <xdr:twoCellAnchor>
    <xdr:from>
      <xdr:col>9</xdr:col>
      <xdr:colOff>342900</xdr:colOff>
      <xdr:row>13</xdr:row>
      <xdr:rowOff>68580</xdr:rowOff>
    </xdr:from>
    <xdr:to>
      <xdr:col>9</xdr:col>
      <xdr:colOff>525780</xdr:colOff>
      <xdr:row>15</xdr:row>
      <xdr:rowOff>76200</xdr:rowOff>
    </xdr:to>
    <xdr:sp macro="" textlink="">
      <xdr:nvSpPr>
        <xdr:cNvPr id="26" name="Arrow: Up 25">
          <a:extLst>
            <a:ext uri="{FF2B5EF4-FFF2-40B4-BE49-F238E27FC236}">
              <a16:creationId xmlns:a16="http://schemas.microsoft.com/office/drawing/2014/main" id="{A03B6C8B-7957-B21C-418E-40605F5A8D06}"/>
            </a:ext>
          </a:extLst>
        </xdr:cNvPr>
        <xdr:cNvSpPr/>
      </xdr:nvSpPr>
      <xdr:spPr>
        <a:xfrm>
          <a:off x="5715000" y="4686300"/>
          <a:ext cx="182880" cy="373380"/>
        </a:xfrm>
        <a:prstGeom prst="upArrow">
          <a:avLst>
            <a:gd name="adj1" fmla="val 80303"/>
            <a:gd name="adj2" fmla="val 50000"/>
          </a:avLst>
        </a:prstGeom>
        <a:solidFill>
          <a:srgbClr val="C9A84C"/>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xdr:colOff>
      <xdr:row>13</xdr:row>
      <xdr:rowOff>114300</xdr:rowOff>
    </xdr:from>
    <xdr:to>
      <xdr:col>11</xdr:col>
      <xdr:colOff>274320</xdr:colOff>
      <xdr:row>15</xdr:row>
      <xdr:rowOff>121920</xdr:rowOff>
    </xdr:to>
    <xdr:sp macro="" textlink="">
      <xdr:nvSpPr>
        <xdr:cNvPr id="27" name="Arrow: Up 26">
          <a:extLst>
            <a:ext uri="{FF2B5EF4-FFF2-40B4-BE49-F238E27FC236}">
              <a16:creationId xmlns:a16="http://schemas.microsoft.com/office/drawing/2014/main" id="{AD529D80-D9FB-49FF-BD84-7072089649BF}"/>
            </a:ext>
          </a:extLst>
        </xdr:cNvPr>
        <xdr:cNvSpPr/>
      </xdr:nvSpPr>
      <xdr:spPr>
        <a:xfrm>
          <a:off x="6728460" y="4732020"/>
          <a:ext cx="251460" cy="373380"/>
        </a:xfrm>
        <a:prstGeom prst="upArrow">
          <a:avLst>
            <a:gd name="adj1" fmla="val 80303"/>
            <a:gd name="adj2" fmla="val 50000"/>
          </a:avLst>
        </a:prstGeom>
        <a:solidFill>
          <a:srgbClr val="C9A84C"/>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548640</xdr:colOff>
      <xdr:row>13</xdr:row>
      <xdr:rowOff>99060</xdr:rowOff>
    </xdr:from>
    <xdr:to>
      <xdr:col>13</xdr:col>
      <xdr:colOff>190500</xdr:colOff>
      <xdr:row>15</xdr:row>
      <xdr:rowOff>106680</xdr:rowOff>
    </xdr:to>
    <xdr:sp macro="" textlink="">
      <xdr:nvSpPr>
        <xdr:cNvPr id="28" name="Arrow: Up 27">
          <a:extLst>
            <a:ext uri="{FF2B5EF4-FFF2-40B4-BE49-F238E27FC236}">
              <a16:creationId xmlns:a16="http://schemas.microsoft.com/office/drawing/2014/main" id="{73A03F58-88AC-4073-94FC-0E23D11D6700}"/>
            </a:ext>
          </a:extLst>
        </xdr:cNvPr>
        <xdr:cNvSpPr/>
      </xdr:nvSpPr>
      <xdr:spPr>
        <a:xfrm>
          <a:off x="7863840" y="4716780"/>
          <a:ext cx="251460" cy="373380"/>
        </a:xfrm>
        <a:prstGeom prst="upArrow">
          <a:avLst>
            <a:gd name="adj1" fmla="val 80303"/>
            <a:gd name="adj2" fmla="val 50000"/>
          </a:avLst>
        </a:prstGeom>
        <a:solidFill>
          <a:srgbClr val="C9A84C"/>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381000</xdr:colOff>
      <xdr:row>13</xdr:row>
      <xdr:rowOff>106680</xdr:rowOff>
    </xdr:from>
    <xdr:to>
      <xdr:col>15</xdr:col>
      <xdr:colOff>22860</xdr:colOff>
      <xdr:row>15</xdr:row>
      <xdr:rowOff>114300</xdr:rowOff>
    </xdr:to>
    <xdr:sp macro="" textlink="">
      <xdr:nvSpPr>
        <xdr:cNvPr id="29" name="Arrow: Up 28">
          <a:extLst>
            <a:ext uri="{FF2B5EF4-FFF2-40B4-BE49-F238E27FC236}">
              <a16:creationId xmlns:a16="http://schemas.microsoft.com/office/drawing/2014/main" id="{CAD209C9-6E5D-4DE8-90E1-1FFB58F2130E}"/>
            </a:ext>
          </a:extLst>
        </xdr:cNvPr>
        <xdr:cNvSpPr/>
      </xdr:nvSpPr>
      <xdr:spPr>
        <a:xfrm>
          <a:off x="8915400" y="4724400"/>
          <a:ext cx="251460" cy="373380"/>
        </a:xfrm>
        <a:prstGeom prst="upArrow">
          <a:avLst>
            <a:gd name="adj1" fmla="val 80303"/>
            <a:gd name="adj2" fmla="val 50000"/>
          </a:avLst>
        </a:prstGeom>
        <a:solidFill>
          <a:srgbClr val="C9A84C"/>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525780</xdr:colOff>
      <xdr:row>10</xdr:row>
      <xdr:rowOff>22860</xdr:rowOff>
    </xdr:from>
    <xdr:to>
      <xdr:col>8</xdr:col>
      <xdr:colOff>495300</xdr:colOff>
      <xdr:row>10</xdr:row>
      <xdr:rowOff>22860</xdr:rowOff>
    </xdr:to>
    <xdr:cxnSp macro="">
      <xdr:nvCxnSpPr>
        <xdr:cNvPr id="31" name="Straight Connector 30">
          <a:extLst>
            <a:ext uri="{FF2B5EF4-FFF2-40B4-BE49-F238E27FC236}">
              <a16:creationId xmlns:a16="http://schemas.microsoft.com/office/drawing/2014/main" id="{B423362B-9662-19F3-8FA8-A9E0EBC01F76}"/>
            </a:ext>
          </a:extLst>
        </xdr:cNvPr>
        <xdr:cNvCxnSpPr/>
      </xdr:nvCxnSpPr>
      <xdr:spPr>
        <a:xfrm flipH="1">
          <a:off x="4792980" y="4091940"/>
          <a:ext cx="579120" cy="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0</xdr:colOff>
      <xdr:row>9</xdr:row>
      <xdr:rowOff>22860</xdr:rowOff>
    </xdr:from>
    <xdr:to>
      <xdr:col>8</xdr:col>
      <xdr:colOff>7620</xdr:colOff>
      <xdr:row>15</xdr:row>
      <xdr:rowOff>91440</xdr:rowOff>
    </xdr:to>
    <xdr:cxnSp macro="">
      <xdr:nvCxnSpPr>
        <xdr:cNvPr id="33" name="Straight Connector 32">
          <a:extLst>
            <a:ext uri="{FF2B5EF4-FFF2-40B4-BE49-F238E27FC236}">
              <a16:creationId xmlns:a16="http://schemas.microsoft.com/office/drawing/2014/main" id="{1784D2CD-8A6F-D9C8-1822-B4643406243E}"/>
            </a:ext>
          </a:extLst>
        </xdr:cNvPr>
        <xdr:cNvCxnSpPr/>
      </xdr:nvCxnSpPr>
      <xdr:spPr>
        <a:xfrm flipH="1">
          <a:off x="4876800" y="3893820"/>
          <a:ext cx="7620" cy="118110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358140</xdr:colOff>
      <xdr:row>3</xdr:row>
      <xdr:rowOff>106680</xdr:rowOff>
    </xdr:from>
    <xdr:to>
      <xdr:col>2</xdr:col>
      <xdr:colOff>83820</xdr:colOff>
      <xdr:row>3</xdr:row>
      <xdr:rowOff>129540</xdr:rowOff>
    </xdr:to>
    <xdr:cxnSp macro="">
      <xdr:nvCxnSpPr>
        <xdr:cNvPr id="39" name="Straight Connector 38">
          <a:extLst>
            <a:ext uri="{FF2B5EF4-FFF2-40B4-BE49-F238E27FC236}">
              <a16:creationId xmlns:a16="http://schemas.microsoft.com/office/drawing/2014/main" id="{83902A26-4940-7BD9-55B6-B0D0416550F1}"/>
            </a:ext>
          </a:extLst>
        </xdr:cNvPr>
        <xdr:cNvCxnSpPr/>
      </xdr:nvCxnSpPr>
      <xdr:spPr>
        <a:xfrm flipV="1">
          <a:off x="358140" y="655320"/>
          <a:ext cx="944880" cy="2286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83820</xdr:colOff>
      <xdr:row>3</xdr:row>
      <xdr:rowOff>129540</xdr:rowOff>
    </xdr:from>
    <xdr:to>
      <xdr:col>10</xdr:col>
      <xdr:colOff>228600</xdr:colOff>
      <xdr:row>4</xdr:row>
      <xdr:rowOff>220980</xdr:rowOff>
    </xdr:to>
    <xdr:sp macro="" textlink="">
      <xdr:nvSpPr>
        <xdr:cNvPr id="30" name="TextBox 29">
          <a:extLst>
            <a:ext uri="{FF2B5EF4-FFF2-40B4-BE49-F238E27FC236}">
              <a16:creationId xmlns:a16="http://schemas.microsoft.com/office/drawing/2014/main" id="{654937BF-3FA8-A69D-B1FD-B67D957BB1E0}"/>
            </a:ext>
          </a:extLst>
        </xdr:cNvPr>
        <xdr:cNvSpPr txBox="1"/>
      </xdr:nvSpPr>
      <xdr:spPr>
        <a:xfrm>
          <a:off x="3901440" y="678180"/>
          <a:ext cx="2583180" cy="27432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C9A84C"/>
              </a:solidFill>
            </a:rPr>
            <a:t>         </a:t>
          </a:r>
          <a:r>
            <a:rPr lang="en-IN" sz="1100">
              <a:solidFill>
                <a:schemeClr val="bg2"/>
              </a:solidFill>
            </a:rPr>
            <a:t>REMOVED DUPLICATE RECORDS</a:t>
          </a:r>
        </a:p>
      </xdr:txBody>
    </xdr:sp>
    <xdr:clientData/>
  </xdr:twoCellAnchor>
  <xdr:twoCellAnchor>
    <xdr:from>
      <xdr:col>6</xdr:col>
      <xdr:colOff>68580</xdr:colOff>
      <xdr:row>4</xdr:row>
      <xdr:rowOff>495300</xdr:rowOff>
    </xdr:from>
    <xdr:to>
      <xdr:col>10</xdr:col>
      <xdr:colOff>213360</xdr:colOff>
      <xdr:row>4</xdr:row>
      <xdr:rowOff>815340</xdr:rowOff>
    </xdr:to>
    <xdr:sp macro="" textlink="">
      <xdr:nvSpPr>
        <xdr:cNvPr id="32" name="TextBox 31">
          <a:extLst>
            <a:ext uri="{FF2B5EF4-FFF2-40B4-BE49-F238E27FC236}">
              <a16:creationId xmlns:a16="http://schemas.microsoft.com/office/drawing/2014/main" id="{CDBBFF3C-D15C-BE87-A2DE-EED97E94B88D}"/>
            </a:ext>
          </a:extLst>
        </xdr:cNvPr>
        <xdr:cNvSpPr txBox="1"/>
      </xdr:nvSpPr>
      <xdr:spPr>
        <a:xfrm>
          <a:off x="3886200" y="1226820"/>
          <a:ext cx="2583180" cy="32004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CA21"/>
              </a:solidFill>
              <a:latin typeface="Crimson Pro" pitchFamily="2" charset="0"/>
            </a:rPr>
            <a:t>         </a:t>
          </a:r>
          <a:r>
            <a:rPr lang="en-IN" sz="1100">
              <a:solidFill>
                <a:schemeClr val="bg1"/>
              </a:solidFill>
              <a:latin typeface="Crimson Pro" pitchFamily="2" charset="0"/>
            </a:rPr>
            <a:t>STANDARDISED CATEGORY</a:t>
          </a:r>
          <a:r>
            <a:rPr lang="en-IN" sz="1100" baseline="0">
              <a:solidFill>
                <a:schemeClr val="bg1"/>
              </a:solidFill>
              <a:latin typeface="Crimson Pro" pitchFamily="2" charset="0"/>
            </a:rPr>
            <a:t>  NAMES</a:t>
          </a:r>
          <a:endParaRPr lang="en-IN" sz="1100">
            <a:solidFill>
              <a:srgbClr val="FFCA21"/>
            </a:solidFill>
            <a:latin typeface="Crimson Pro" pitchFamily="2" charset="0"/>
          </a:endParaRPr>
        </a:p>
      </xdr:txBody>
    </xdr:sp>
    <xdr:clientData/>
  </xdr:twoCellAnchor>
  <xdr:twoCellAnchor>
    <xdr:from>
      <xdr:col>6</xdr:col>
      <xdr:colOff>83820</xdr:colOff>
      <xdr:row>4</xdr:row>
      <xdr:rowOff>1089660</xdr:rowOff>
    </xdr:from>
    <xdr:to>
      <xdr:col>10</xdr:col>
      <xdr:colOff>205740</xdr:colOff>
      <xdr:row>5</xdr:row>
      <xdr:rowOff>114300</xdr:rowOff>
    </xdr:to>
    <xdr:sp macro="" textlink="">
      <xdr:nvSpPr>
        <xdr:cNvPr id="34" name="TextBox 33">
          <a:extLst>
            <a:ext uri="{FF2B5EF4-FFF2-40B4-BE49-F238E27FC236}">
              <a16:creationId xmlns:a16="http://schemas.microsoft.com/office/drawing/2014/main" id="{73D69F88-0652-ABA0-D09B-B09EF3744C2F}"/>
            </a:ext>
          </a:extLst>
        </xdr:cNvPr>
        <xdr:cNvSpPr txBox="1"/>
      </xdr:nvSpPr>
      <xdr:spPr>
        <a:xfrm>
          <a:off x="3901440" y="1821180"/>
          <a:ext cx="2560320" cy="26670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VALIDATED</a:t>
          </a:r>
          <a:r>
            <a:rPr lang="en-IN" sz="1100" baseline="0">
              <a:solidFill>
                <a:schemeClr val="bg1"/>
              </a:solidFill>
            </a:rPr>
            <a:t> DATA CONSISTENCY</a:t>
          </a:r>
          <a:endParaRPr lang="en-IN" sz="1100">
            <a:solidFill>
              <a:schemeClr val="bg1"/>
            </a:solidFill>
          </a:endParaRPr>
        </a:p>
      </xdr:txBody>
    </xdr:sp>
    <xdr:clientData/>
  </xdr:twoCellAnchor>
  <xdr:twoCellAnchor>
    <xdr:from>
      <xdr:col>10</xdr:col>
      <xdr:colOff>304800</xdr:colOff>
      <xdr:row>3</xdr:row>
      <xdr:rowOff>137160</xdr:rowOff>
    </xdr:from>
    <xdr:to>
      <xdr:col>15</xdr:col>
      <xdr:colOff>0</xdr:colOff>
      <xdr:row>4</xdr:row>
      <xdr:rowOff>228600</xdr:rowOff>
    </xdr:to>
    <xdr:sp macro="" textlink="">
      <xdr:nvSpPr>
        <xdr:cNvPr id="35" name="TextBox 34">
          <a:extLst>
            <a:ext uri="{FF2B5EF4-FFF2-40B4-BE49-F238E27FC236}">
              <a16:creationId xmlns:a16="http://schemas.microsoft.com/office/drawing/2014/main" id="{CA7E8773-ACB5-FC32-2C89-155A0BEB12A5}"/>
            </a:ext>
          </a:extLst>
        </xdr:cNvPr>
        <xdr:cNvSpPr txBox="1"/>
      </xdr:nvSpPr>
      <xdr:spPr>
        <a:xfrm>
          <a:off x="6560820" y="685800"/>
          <a:ext cx="2743200" cy="27432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solidFill>
            </a:rPr>
            <a:t>       HANDLED MISSING VALUES AND ENTRIES  </a:t>
          </a:r>
        </a:p>
      </xdr:txBody>
    </xdr:sp>
    <xdr:clientData/>
  </xdr:twoCellAnchor>
  <xdr:twoCellAnchor>
    <xdr:from>
      <xdr:col>10</xdr:col>
      <xdr:colOff>304800</xdr:colOff>
      <xdr:row>4</xdr:row>
      <xdr:rowOff>502920</xdr:rowOff>
    </xdr:from>
    <xdr:to>
      <xdr:col>15</xdr:col>
      <xdr:colOff>22860</xdr:colOff>
      <xdr:row>4</xdr:row>
      <xdr:rowOff>800100</xdr:rowOff>
    </xdr:to>
    <xdr:sp macro="" textlink="">
      <xdr:nvSpPr>
        <xdr:cNvPr id="36" name="TextBox 35">
          <a:extLst>
            <a:ext uri="{FF2B5EF4-FFF2-40B4-BE49-F238E27FC236}">
              <a16:creationId xmlns:a16="http://schemas.microsoft.com/office/drawing/2014/main" id="{169D0860-E758-B38B-8D1D-8E9E67C78EF2}"/>
            </a:ext>
          </a:extLst>
        </xdr:cNvPr>
        <xdr:cNvSpPr txBox="1"/>
      </xdr:nvSpPr>
      <xdr:spPr>
        <a:xfrm>
          <a:off x="6560820" y="1234440"/>
          <a:ext cx="2766060" cy="29718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CORRECTED</a:t>
          </a:r>
          <a:r>
            <a:rPr lang="en-IN" sz="1100" baseline="0">
              <a:solidFill>
                <a:schemeClr val="bg1"/>
              </a:solidFill>
            </a:rPr>
            <a:t> DATE FORMATS &amp;REVENUE</a:t>
          </a:r>
          <a:endParaRPr lang="en-IN" sz="1100">
            <a:solidFill>
              <a:schemeClr val="bg1"/>
            </a:solidFill>
          </a:endParaRPr>
        </a:p>
      </xdr:txBody>
    </xdr:sp>
    <xdr:clientData/>
  </xdr:twoCellAnchor>
  <xdr:twoCellAnchor>
    <xdr:from>
      <xdr:col>10</xdr:col>
      <xdr:colOff>312420</xdr:colOff>
      <xdr:row>4</xdr:row>
      <xdr:rowOff>1051560</xdr:rowOff>
    </xdr:from>
    <xdr:to>
      <xdr:col>15</xdr:col>
      <xdr:colOff>121920</xdr:colOff>
      <xdr:row>5</xdr:row>
      <xdr:rowOff>144780</xdr:rowOff>
    </xdr:to>
    <xdr:sp macro="" textlink="">
      <xdr:nvSpPr>
        <xdr:cNvPr id="37" name="TextBox 36">
          <a:extLst>
            <a:ext uri="{FF2B5EF4-FFF2-40B4-BE49-F238E27FC236}">
              <a16:creationId xmlns:a16="http://schemas.microsoft.com/office/drawing/2014/main" id="{854433E5-89C3-61FD-064D-AA2976866C20}"/>
            </a:ext>
          </a:extLst>
        </xdr:cNvPr>
        <xdr:cNvSpPr txBox="1"/>
      </xdr:nvSpPr>
      <xdr:spPr>
        <a:xfrm>
          <a:off x="6217920" y="1783080"/>
          <a:ext cx="2857500" cy="33528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bg1"/>
              </a:solidFill>
            </a:rPr>
            <a:t>      ADDED SELL-THROUGH RATE &amp; MONTH KPIS</a:t>
          </a:r>
          <a:endParaRPr lang="en-IN" sz="1100">
            <a:solidFill>
              <a:schemeClr val="bg1"/>
            </a:solidFill>
          </a:endParaRPr>
        </a:p>
      </xdr:txBody>
    </xdr:sp>
    <xdr:clientData/>
  </xdr:twoCellAnchor>
  <xdr:twoCellAnchor editAs="oneCell">
    <xdr:from>
      <xdr:col>5</xdr:col>
      <xdr:colOff>30480</xdr:colOff>
      <xdr:row>0</xdr:row>
      <xdr:rowOff>160020</xdr:rowOff>
    </xdr:from>
    <xdr:to>
      <xdr:col>6</xdr:col>
      <xdr:colOff>137160</xdr:colOff>
      <xdr:row>2</xdr:row>
      <xdr:rowOff>167640</xdr:rowOff>
    </xdr:to>
    <xdr:pic>
      <xdr:nvPicPr>
        <xdr:cNvPr id="40" name="Picture 39">
          <a:extLst>
            <a:ext uri="{FF2B5EF4-FFF2-40B4-BE49-F238E27FC236}">
              <a16:creationId xmlns:a16="http://schemas.microsoft.com/office/drawing/2014/main" id="{BB84BBA1-DF2C-5E03-AA21-2CDF2127E9B3}"/>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3078480" y="160020"/>
          <a:ext cx="373380" cy="373380"/>
        </a:xfrm>
        <a:prstGeom prst="rect">
          <a:avLst/>
        </a:prstGeom>
      </xdr:spPr>
    </xdr:pic>
    <xdr:clientData/>
  </xdr:twoCellAnchor>
  <xdr:twoCellAnchor>
    <xdr:from>
      <xdr:col>6</xdr:col>
      <xdr:colOff>205740</xdr:colOff>
      <xdr:row>4</xdr:row>
      <xdr:rowOff>0</xdr:rowOff>
    </xdr:from>
    <xdr:to>
      <xdr:col>6</xdr:col>
      <xdr:colOff>381000</xdr:colOff>
      <xdr:row>4</xdr:row>
      <xdr:rowOff>182880</xdr:rowOff>
    </xdr:to>
    <xdr:sp macro="" textlink="">
      <xdr:nvSpPr>
        <xdr:cNvPr id="41" name="Oval 40">
          <a:extLst>
            <a:ext uri="{FF2B5EF4-FFF2-40B4-BE49-F238E27FC236}">
              <a16:creationId xmlns:a16="http://schemas.microsoft.com/office/drawing/2014/main" id="{C107ACCB-0276-A7BC-EEEE-32C4CC38609B}"/>
            </a:ext>
          </a:extLst>
        </xdr:cNvPr>
        <xdr:cNvSpPr/>
      </xdr:nvSpPr>
      <xdr:spPr>
        <a:xfrm>
          <a:off x="4023360" y="731520"/>
          <a:ext cx="175260" cy="18288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381000</xdr:colOff>
      <xdr:row>4</xdr:row>
      <xdr:rowOff>15240</xdr:rowOff>
    </xdr:from>
    <xdr:to>
      <xdr:col>10</xdr:col>
      <xdr:colOff>541020</xdr:colOff>
      <xdr:row>4</xdr:row>
      <xdr:rowOff>167640</xdr:rowOff>
    </xdr:to>
    <xdr:sp macro="" textlink="">
      <xdr:nvSpPr>
        <xdr:cNvPr id="42" name="Oval 41">
          <a:extLst>
            <a:ext uri="{FF2B5EF4-FFF2-40B4-BE49-F238E27FC236}">
              <a16:creationId xmlns:a16="http://schemas.microsoft.com/office/drawing/2014/main" id="{D56847C0-5EAB-4904-9DAA-61681DDE1F1B}"/>
            </a:ext>
          </a:extLst>
        </xdr:cNvPr>
        <xdr:cNvSpPr/>
      </xdr:nvSpPr>
      <xdr:spPr>
        <a:xfrm>
          <a:off x="6637020" y="746760"/>
          <a:ext cx="160020" cy="15240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205740</xdr:colOff>
      <xdr:row>4</xdr:row>
      <xdr:rowOff>541020</xdr:rowOff>
    </xdr:from>
    <xdr:to>
      <xdr:col>6</xdr:col>
      <xdr:colOff>381000</xdr:colOff>
      <xdr:row>4</xdr:row>
      <xdr:rowOff>723900</xdr:rowOff>
    </xdr:to>
    <xdr:sp macro="" textlink="">
      <xdr:nvSpPr>
        <xdr:cNvPr id="56" name="Oval 55">
          <a:extLst>
            <a:ext uri="{FF2B5EF4-FFF2-40B4-BE49-F238E27FC236}">
              <a16:creationId xmlns:a16="http://schemas.microsoft.com/office/drawing/2014/main" id="{9920B6CC-BFFA-4D9D-961A-9D278EC5C537}"/>
            </a:ext>
          </a:extLst>
        </xdr:cNvPr>
        <xdr:cNvSpPr/>
      </xdr:nvSpPr>
      <xdr:spPr>
        <a:xfrm>
          <a:off x="4023360" y="1272540"/>
          <a:ext cx="175260" cy="18288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228600</xdr:colOff>
      <xdr:row>4</xdr:row>
      <xdr:rowOff>1143000</xdr:rowOff>
    </xdr:from>
    <xdr:to>
      <xdr:col>6</xdr:col>
      <xdr:colOff>403860</xdr:colOff>
      <xdr:row>5</xdr:row>
      <xdr:rowOff>83820</xdr:rowOff>
    </xdr:to>
    <xdr:sp macro="" textlink="">
      <xdr:nvSpPr>
        <xdr:cNvPr id="57" name="Oval 56">
          <a:extLst>
            <a:ext uri="{FF2B5EF4-FFF2-40B4-BE49-F238E27FC236}">
              <a16:creationId xmlns:a16="http://schemas.microsoft.com/office/drawing/2014/main" id="{B9362026-C09F-4EDA-8164-B137AEDB9B1C}"/>
            </a:ext>
          </a:extLst>
        </xdr:cNvPr>
        <xdr:cNvSpPr/>
      </xdr:nvSpPr>
      <xdr:spPr>
        <a:xfrm>
          <a:off x="4046220" y="1874520"/>
          <a:ext cx="175260" cy="18288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388620</xdr:colOff>
      <xdr:row>4</xdr:row>
      <xdr:rowOff>571500</xdr:rowOff>
    </xdr:from>
    <xdr:to>
      <xdr:col>10</xdr:col>
      <xdr:colOff>563880</xdr:colOff>
      <xdr:row>4</xdr:row>
      <xdr:rowOff>754380</xdr:rowOff>
    </xdr:to>
    <xdr:sp macro="" textlink="">
      <xdr:nvSpPr>
        <xdr:cNvPr id="58" name="Oval 57">
          <a:extLst>
            <a:ext uri="{FF2B5EF4-FFF2-40B4-BE49-F238E27FC236}">
              <a16:creationId xmlns:a16="http://schemas.microsoft.com/office/drawing/2014/main" id="{C282FFDF-310B-4DC3-8298-AB539EFF81E0}"/>
            </a:ext>
          </a:extLst>
        </xdr:cNvPr>
        <xdr:cNvSpPr/>
      </xdr:nvSpPr>
      <xdr:spPr>
        <a:xfrm>
          <a:off x="6644640" y="1303020"/>
          <a:ext cx="175260" cy="18288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335280</xdr:colOff>
      <xdr:row>4</xdr:row>
      <xdr:rowOff>1074420</xdr:rowOff>
    </xdr:from>
    <xdr:to>
      <xdr:col>10</xdr:col>
      <xdr:colOff>510540</xdr:colOff>
      <xdr:row>5</xdr:row>
      <xdr:rowOff>15240</xdr:rowOff>
    </xdr:to>
    <xdr:sp macro="" textlink="">
      <xdr:nvSpPr>
        <xdr:cNvPr id="59" name="Oval 58">
          <a:extLst>
            <a:ext uri="{FF2B5EF4-FFF2-40B4-BE49-F238E27FC236}">
              <a16:creationId xmlns:a16="http://schemas.microsoft.com/office/drawing/2014/main" id="{2492BEFD-9934-4791-86A3-780CAF0D25EE}"/>
            </a:ext>
          </a:extLst>
        </xdr:cNvPr>
        <xdr:cNvSpPr/>
      </xdr:nvSpPr>
      <xdr:spPr>
        <a:xfrm>
          <a:off x="6240780" y="1805940"/>
          <a:ext cx="175260" cy="18288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114300</xdr:colOff>
      <xdr:row>6</xdr:row>
      <xdr:rowOff>487680</xdr:rowOff>
    </xdr:from>
    <xdr:to>
      <xdr:col>15</xdr:col>
      <xdr:colOff>38100</xdr:colOff>
      <xdr:row>8</xdr:row>
      <xdr:rowOff>114300</xdr:rowOff>
    </xdr:to>
    <xdr:sp macro="" textlink="">
      <xdr:nvSpPr>
        <xdr:cNvPr id="62" name="TextBox 61">
          <a:extLst>
            <a:ext uri="{FF2B5EF4-FFF2-40B4-BE49-F238E27FC236}">
              <a16:creationId xmlns:a16="http://schemas.microsoft.com/office/drawing/2014/main" id="{CB7B02D0-DE61-B1F0-2FBE-A6B5AC611954}"/>
            </a:ext>
          </a:extLst>
        </xdr:cNvPr>
        <xdr:cNvSpPr txBox="1"/>
      </xdr:nvSpPr>
      <xdr:spPr>
        <a:xfrm>
          <a:off x="3931920" y="2644140"/>
          <a:ext cx="5410200" cy="1051560"/>
        </a:xfrm>
        <a:prstGeom prst="rect">
          <a:avLst/>
        </a:prstGeom>
        <a:solidFill>
          <a:srgbClr val="0D0F1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C000"/>
              </a:solidFill>
              <a:latin typeface="Crimson Pro" pitchFamily="2" charset="0"/>
            </a:rPr>
            <a:t> </a:t>
          </a:r>
          <a:r>
            <a:rPr lang="en-IN" sz="1200" i="0">
              <a:solidFill>
                <a:srgbClr val="C9A84C"/>
              </a:solidFill>
              <a:latin typeface="Crimson Pro" pitchFamily="2" charset="0"/>
              <a:ea typeface="+mn-ea"/>
              <a:cs typeface="+mn-cs"/>
            </a:rPr>
            <a:t>To identify which product categories and cities drive the most revenue, understand customer buying patterns, and evaluate inventory sell-through  helping the business prioritize stock and marketing spend where it matters most</a:t>
          </a:r>
          <a:r>
            <a:rPr lang="en-IN" sz="1200"/>
            <a:t>.</a:t>
          </a:r>
          <a:endParaRPr lang="en-IN" sz="1200">
            <a:solidFill>
              <a:srgbClr val="C9A84C"/>
            </a:solidFill>
            <a:latin typeface="Crimson Pro" pitchFamily="2" charset="0"/>
          </a:endParaRPr>
        </a:p>
      </xdr:txBody>
    </xdr:sp>
    <xdr:clientData/>
  </xdr:twoCellAnchor>
  <xdr:twoCellAnchor editAs="oneCell">
    <xdr:from>
      <xdr:col>6</xdr:col>
      <xdr:colOff>167640</xdr:colOff>
      <xdr:row>6</xdr:row>
      <xdr:rowOff>205740</xdr:rowOff>
    </xdr:from>
    <xdr:to>
      <xdr:col>6</xdr:col>
      <xdr:colOff>525780</xdr:colOff>
      <xdr:row>6</xdr:row>
      <xdr:rowOff>563880</xdr:rowOff>
    </xdr:to>
    <xdr:pic>
      <xdr:nvPicPr>
        <xdr:cNvPr id="65" name="Graphic 64" descr="Bullseye with solid fill">
          <a:extLst>
            <a:ext uri="{FF2B5EF4-FFF2-40B4-BE49-F238E27FC236}">
              <a16:creationId xmlns:a16="http://schemas.microsoft.com/office/drawing/2014/main" id="{548AA918-40AA-EDFD-9F02-C1ED54150E6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82340" y="2362200"/>
          <a:ext cx="358140" cy="358140"/>
        </a:xfrm>
        <a:prstGeom prst="rect">
          <a:avLst/>
        </a:prstGeom>
      </xdr:spPr>
    </xdr:pic>
    <xdr:clientData/>
  </xdr:twoCellAnchor>
  <xdr:twoCellAnchor>
    <xdr:from>
      <xdr:col>6</xdr:col>
      <xdr:colOff>533400</xdr:colOff>
      <xdr:row>6</xdr:row>
      <xdr:rowOff>281940</xdr:rowOff>
    </xdr:from>
    <xdr:to>
      <xdr:col>9</xdr:col>
      <xdr:colOff>472440</xdr:colOff>
      <xdr:row>6</xdr:row>
      <xdr:rowOff>495300</xdr:rowOff>
    </xdr:to>
    <xdr:sp macro="" textlink="">
      <xdr:nvSpPr>
        <xdr:cNvPr id="66" name="TextBox 65">
          <a:extLst>
            <a:ext uri="{FF2B5EF4-FFF2-40B4-BE49-F238E27FC236}">
              <a16:creationId xmlns:a16="http://schemas.microsoft.com/office/drawing/2014/main" id="{435A1739-C665-03FF-D4B3-C39A7E8F9A58}"/>
            </a:ext>
          </a:extLst>
        </xdr:cNvPr>
        <xdr:cNvSpPr txBox="1"/>
      </xdr:nvSpPr>
      <xdr:spPr>
        <a:xfrm>
          <a:off x="3848100" y="2438400"/>
          <a:ext cx="1920240" cy="213360"/>
        </a:xfrm>
        <a:prstGeom prst="rect">
          <a:avLst/>
        </a:prstGeom>
        <a:solidFill>
          <a:srgbClr val="0D0F1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C9A84C"/>
              </a:solidFill>
              <a:latin typeface="+mj-lt"/>
              <a:ea typeface="+mn-ea"/>
              <a:cs typeface="+mn-cs"/>
            </a:rPr>
            <a:t>Project</a:t>
          </a:r>
          <a:r>
            <a:rPr lang="en-IN" sz="1100" baseline="0">
              <a:solidFill>
                <a:srgbClr val="C9A84C"/>
              </a:solidFill>
              <a:latin typeface="+mj-lt"/>
              <a:ea typeface="+mn-ea"/>
              <a:cs typeface="+mn-cs"/>
            </a:rPr>
            <a:t> Objective</a:t>
          </a:r>
          <a:endParaRPr lang="en-IN" sz="1100">
            <a:solidFill>
              <a:srgbClr val="C9A84C"/>
            </a:solidFill>
            <a:latin typeface="+mj-lt"/>
            <a:ea typeface="+mn-ea"/>
            <a:cs typeface="+mn-cs"/>
          </a:endParaRPr>
        </a:p>
      </xdr:txBody>
    </xdr:sp>
    <xdr:clientData/>
  </xdr:twoCellAnchor>
  <xdr:twoCellAnchor>
    <xdr:from>
      <xdr:col>5</xdr:col>
      <xdr:colOff>220980</xdr:colOff>
      <xdr:row>1</xdr:row>
      <xdr:rowOff>38100</xdr:rowOff>
    </xdr:from>
    <xdr:to>
      <xdr:col>10</xdr:col>
      <xdr:colOff>83820</xdr:colOff>
      <xdr:row>2</xdr:row>
      <xdr:rowOff>53340</xdr:rowOff>
    </xdr:to>
    <xdr:sp macro="" textlink="">
      <xdr:nvSpPr>
        <xdr:cNvPr id="38" name="TextBox 37">
          <a:extLst>
            <a:ext uri="{FF2B5EF4-FFF2-40B4-BE49-F238E27FC236}">
              <a16:creationId xmlns:a16="http://schemas.microsoft.com/office/drawing/2014/main" id="{EFF73E0E-9FE5-0DBB-F7E2-62C054D65FA8}"/>
            </a:ext>
          </a:extLst>
        </xdr:cNvPr>
        <xdr:cNvSpPr txBox="1"/>
      </xdr:nvSpPr>
      <xdr:spPr>
        <a:xfrm>
          <a:off x="3268980" y="220980"/>
          <a:ext cx="27203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C9A84C"/>
              </a:solidFill>
              <a:latin typeface="Crimson Pro" pitchFamily="2" charset="0"/>
            </a:rPr>
            <a:t>DATA</a:t>
          </a:r>
          <a:r>
            <a:rPr lang="en-IN" sz="1100" baseline="0">
              <a:solidFill>
                <a:srgbClr val="C9A84C"/>
              </a:solidFill>
              <a:latin typeface="Crimson Pro" pitchFamily="2" charset="0"/>
            </a:rPr>
            <a:t> CLEANING AND PREPARATION</a:t>
          </a:r>
          <a:endParaRPr lang="en-IN" sz="1100">
            <a:solidFill>
              <a:srgbClr val="C9A84C"/>
            </a:solidFill>
            <a:latin typeface="Crimson Pro" pitchFamily="2"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556260</xdr:colOff>
      <xdr:row>1</xdr:row>
      <xdr:rowOff>91440</xdr:rowOff>
    </xdr:from>
    <xdr:to>
      <xdr:col>5</xdr:col>
      <xdr:colOff>441960</xdr:colOff>
      <xdr:row>2</xdr:row>
      <xdr:rowOff>160020</xdr:rowOff>
    </xdr:to>
    <xdr:sp macro="" textlink="">
      <xdr:nvSpPr>
        <xdr:cNvPr id="2" name="TextBox 1">
          <a:extLst>
            <a:ext uri="{FF2B5EF4-FFF2-40B4-BE49-F238E27FC236}">
              <a16:creationId xmlns:a16="http://schemas.microsoft.com/office/drawing/2014/main" id="{D69EECAC-E6FF-9973-9A61-8519A02719C0}"/>
            </a:ext>
          </a:extLst>
        </xdr:cNvPr>
        <xdr:cNvSpPr txBox="1"/>
      </xdr:nvSpPr>
      <xdr:spPr>
        <a:xfrm>
          <a:off x="1165860" y="274320"/>
          <a:ext cx="2324100" cy="251460"/>
        </a:xfrm>
        <a:prstGeom prst="rect">
          <a:avLst/>
        </a:prstGeom>
        <a:solidFill>
          <a:srgbClr val="0D0F1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rgbClr val="C9A84C"/>
              </a:solidFill>
              <a:latin typeface="Crimson Pro" pitchFamily="2" charset="0"/>
            </a:rPr>
            <a:t>ANALYTICS FRAMEWORK</a:t>
          </a:r>
        </a:p>
        <a:p>
          <a:endParaRPr lang="en-IN" sz="1100">
            <a:solidFill>
              <a:srgbClr val="C9A84C"/>
            </a:solidFill>
          </a:endParaRPr>
        </a:p>
      </xdr:txBody>
    </xdr:sp>
    <xdr:clientData/>
  </xdr:twoCellAnchor>
  <xdr:twoCellAnchor>
    <xdr:from>
      <xdr:col>0</xdr:col>
      <xdr:colOff>190500</xdr:colOff>
      <xdr:row>2</xdr:row>
      <xdr:rowOff>45720</xdr:rowOff>
    </xdr:from>
    <xdr:to>
      <xdr:col>1</xdr:col>
      <xdr:colOff>182880</xdr:colOff>
      <xdr:row>2</xdr:row>
      <xdr:rowOff>53340</xdr:rowOff>
    </xdr:to>
    <xdr:cxnSp macro="">
      <xdr:nvCxnSpPr>
        <xdr:cNvPr id="4" name="Straight Connector 3">
          <a:extLst>
            <a:ext uri="{FF2B5EF4-FFF2-40B4-BE49-F238E27FC236}">
              <a16:creationId xmlns:a16="http://schemas.microsoft.com/office/drawing/2014/main" id="{7FE6BCC0-5264-42D2-D741-265C96F07FEF}"/>
            </a:ext>
          </a:extLst>
        </xdr:cNvPr>
        <xdr:cNvCxnSpPr/>
      </xdr:nvCxnSpPr>
      <xdr:spPr>
        <a:xfrm flipV="1">
          <a:off x="190500" y="411480"/>
          <a:ext cx="601980" cy="762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0</xdr:row>
      <xdr:rowOff>0</xdr:rowOff>
    </xdr:from>
    <xdr:to>
      <xdr:col>0</xdr:col>
      <xdr:colOff>152400</xdr:colOff>
      <xdr:row>46</xdr:row>
      <xdr:rowOff>106680</xdr:rowOff>
    </xdr:to>
    <xdr:sp macro="" textlink="">
      <xdr:nvSpPr>
        <xdr:cNvPr id="8" name="Rectangle 7">
          <a:extLst>
            <a:ext uri="{FF2B5EF4-FFF2-40B4-BE49-F238E27FC236}">
              <a16:creationId xmlns:a16="http://schemas.microsoft.com/office/drawing/2014/main" id="{07D3C4EF-0040-4E78-A3D2-6E258A6BDA59}"/>
            </a:ext>
          </a:extLst>
        </xdr:cNvPr>
        <xdr:cNvSpPr/>
      </xdr:nvSpPr>
      <xdr:spPr>
        <a:xfrm>
          <a:off x="0" y="0"/>
          <a:ext cx="152400" cy="8519160"/>
        </a:xfrm>
        <a:prstGeom prst="rect">
          <a:avLst/>
        </a:prstGeom>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6200000" scaled="1"/>
          <a:tileRect/>
        </a:gradFill>
        <a:ln>
          <a:solidFill>
            <a:schemeClr val="tx1"/>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426720</xdr:colOff>
      <xdr:row>3</xdr:row>
      <xdr:rowOff>160020</xdr:rowOff>
    </xdr:from>
    <xdr:to>
      <xdr:col>4</xdr:col>
      <xdr:colOff>152400</xdr:colOff>
      <xdr:row>17</xdr:row>
      <xdr:rowOff>99060</xdr:rowOff>
    </xdr:to>
    <xdr:sp macro="" textlink="">
      <xdr:nvSpPr>
        <xdr:cNvPr id="12" name="TextBox 11">
          <a:extLst>
            <a:ext uri="{FF2B5EF4-FFF2-40B4-BE49-F238E27FC236}">
              <a16:creationId xmlns:a16="http://schemas.microsoft.com/office/drawing/2014/main" id="{B327DFFD-1C98-A416-8063-27CD3F96B39F}"/>
            </a:ext>
          </a:extLst>
        </xdr:cNvPr>
        <xdr:cNvSpPr txBox="1"/>
      </xdr:nvSpPr>
      <xdr:spPr>
        <a:xfrm>
          <a:off x="426720" y="708660"/>
          <a:ext cx="2164080" cy="249936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u="none" strike="noStrike">
              <a:solidFill>
                <a:srgbClr val="FFCA21"/>
              </a:solidFill>
              <a:effectLst/>
              <a:latin typeface="Crimson Pro" pitchFamily="2" charset="0"/>
              <a:ea typeface="+mn-ea"/>
              <a:cs typeface="+mn-cs"/>
            </a:rPr>
            <a:t>Descriptive Analytics</a:t>
          </a:r>
        </a:p>
        <a:p>
          <a:r>
            <a:rPr lang="en-IN" sz="1200" b="0" i="0">
              <a:solidFill>
                <a:srgbClr val="C9A84C"/>
              </a:solidFill>
              <a:effectLst/>
              <a:latin typeface="+mn-lt"/>
              <a:ea typeface="+mn-ea"/>
              <a:cs typeface="+mn-cs"/>
            </a:rPr>
            <a:t>"</a:t>
          </a:r>
          <a:r>
            <a:rPr lang="en-IN" sz="1200" b="0" i="1">
              <a:solidFill>
                <a:srgbClr val="C9A84C"/>
              </a:solidFill>
              <a:effectLst/>
              <a:latin typeface="+mn-lt"/>
              <a:ea typeface="+mn-ea"/>
              <a:cs typeface="+mn-cs"/>
            </a:rPr>
            <a:t>What happened?"</a:t>
          </a:r>
        </a:p>
        <a:p>
          <a:r>
            <a:rPr lang="en-IN" sz="1200" b="0" i="1">
              <a:solidFill>
                <a:srgbClr val="C9A84C"/>
              </a:solidFill>
              <a:effectLst/>
              <a:latin typeface="Crimson Pro Medium" pitchFamily="2" charset="0"/>
              <a:ea typeface="+mn-ea"/>
              <a:cs typeface="+mn-cs"/>
            </a:rPr>
            <a:t>₹6,61,472 total revenue across 3 months</a:t>
          </a:r>
        </a:p>
        <a:p>
          <a:r>
            <a:rPr lang="en-IN" sz="1200" b="0" i="1">
              <a:solidFill>
                <a:srgbClr val="C9A84C"/>
              </a:solidFill>
              <a:effectLst/>
              <a:latin typeface="Crimson Pro Medium" pitchFamily="2" charset="0"/>
              <a:ea typeface="+mn-ea"/>
              <a:cs typeface="+mn-cs"/>
            </a:rPr>
            <a:t>June highest revenue despite fewest orders</a:t>
          </a:r>
        </a:p>
        <a:p>
          <a:r>
            <a:rPr lang="en-IN" sz="1200" b="0" i="1">
              <a:solidFill>
                <a:srgbClr val="C9A84C"/>
              </a:solidFill>
              <a:effectLst/>
              <a:latin typeface="Crimson Pro Medium" pitchFamily="2" charset="0"/>
              <a:ea typeface="+mn-ea"/>
              <a:cs typeface="+mn-cs"/>
            </a:rPr>
            <a:t>Female customers drove 63% of revenue</a:t>
          </a:r>
        </a:p>
        <a:p>
          <a:r>
            <a:rPr lang="en-IN" sz="1200" b="0" i="1">
              <a:solidFill>
                <a:srgbClr val="C9A84C"/>
              </a:solidFill>
              <a:effectLst/>
              <a:latin typeface="Crimson Pro Medium" pitchFamily="2" charset="0"/>
              <a:ea typeface="+mn-ea"/>
              <a:cs typeface="+mn-cs"/>
            </a:rPr>
            <a:t>UPI dominated payment methods at 67%</a:t>
          </a:r>
        </a:p>
        <a:p>
          <a:endParaRPr lang="en-IN" sz="1100"/>
        </a:p>
      </xdr:txBody>
    </xdr:sp>
    <xdr:clientData/>
  </xdr:twoCellAnchor>
  <xdr:twoCellAnchor>
    <xdr:from>
      <xdr:col>5</xdr:col>
      <xdr:colOff>0</xdr:colOff>
      <xdr:row>4</xdr:row>
      <xdr:rowOff>7620</xdr:rowOff>
    </xdr:from>
    <xdr:to>
      <xdr:col>8</xdr:col>
      <xdr:colOff>411480</xdr:colOff>
      <xdr:row>17</xdr:row>
      <xdr:rowOff>121920</xdr:rowOff>
    </xdr:to>
    <xdr:sp macro="" textlink="">
      <xdr:nvSpPr>
        <xdr:cNvPr id="13" name="TextBox 12">
          <a:extLst>
            <a:ext uri="{FF2B5EF4-FFF2-40B4-BE49-F238E27FC236}">
              <a16:creationId xmlns:a16="http://schemas.microsoft.com/office/drawing/2014/main" id="{712FFE40-3FC3-F1C9-7335-DD89E13542BE}"/>
            </a:ext>
          </a:extLst>
        </xdr:cNvPr>
        <xdr:cNvSpPr txBox="1"/>
      </xdr:nvSpPr>
      <xdr:spPr>
        <a:xfrm>
          <a:off x="3048000" y="739140"/>
          <a:ext cx="2240280" cy="249174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u="none" strike="noStrike">
              <a:solidFill>
                <a:srgbClr val="FFCA21"/>
              </a:solidFill>
              <a:effectLst/>
              <a:latin typeface="Crimson Pro" pitchFamily="2" charset="0"/>
              <a:ea typeface="+mn-ea"/>
              <a:cs typeface="+mn-cs"/>
            </a:rPr>
            <a:t>Diagnostic Analytics</a:t>
          </a:r>
        </a:p>
        <a:p>
          <a:pPr marL="0" indent="0"/>
          <a:r>
            <a:rPr lang="en-IN" sz="1100" b="0" i="1">
              <a:solidFill>
                <a:srgbClr val="FFCA21"/>
              </a:solidFill>
              <a:effectLst/>
              <a:latin typeface="+mn-lt"/>
              <a:ea typeface="+mn-ea"/>
              <a:cs typeface="+mn-cs"/>
            </a:rPr>
            <a:t>"</a:t>
          </a:r>
          <a:r>
            <a:rPr lang="en-IN" sz="1200" b="0" i="1">
              <a:solidFill>
                <a:srgbClr val="C9A84C"/>
              </a:solidFill>
              <a:effectLst/>
              <a:latin typeface="Crimson Pro Medium" pitchFamily="2" charset="0"/>
              <a:ea typeface="+mn-ea"/>
              <a:cs typeface="+mn-cs"/>
            </a:rPr>
            <a:t>Why did it happen?"</a:t>
          </a:r>
        </a:p>
        <a:p>
          <a:pPr marL="0" indent="0"/>
          <a:r>
            <a:rPr lang="en-IN" sz="1200" b="0" i="1">
              <a:solidFill>
                <a:srgbClr val="C9A84C"/>
              </a:solidFill>
              <a:effectLst/>
              <a:latin typeface="Crimson Pro Medium" pitchFamily="2" charset="0"/>
              <a:ea typeface="+mn-ea"/>
              <a:cs typeface="+mn-cs"/>
            </a:rPr>
            <a:t>June surge driven by premium Saree purchases</a:t>
          </a:r>
        </a:p>
        <a:p>
          <a:pPr marL="0" indent="0"/>
          <a:r>
            <a:rPr lang="en-IN" sz="1200" b="0" i="1">
              <a:solidFill>
                <a:srgbClr val="C9A84C"/>
              </a:solidFill>
              <a:effectLst/>
              <a:latin typeface="Crimson Pro Medium" pitchFamily="2" charset="0"/>
              <a:ea typeface="+mn-ea"/>
              <a:cs typeface="+mn-cs"/>
            </a:rPr>
            <a:t>Female dominance due to higher-priced categories</a:t>
          </a:r>
        </a:p>
        <a:p>
          <a:pPr marL="0" indent="0"/>
          <a:r>
            <a:rPr lang="en-IN" sz="1200" b="0" i="1">
              <a:solidFill>
                <a:srgbClr val="C9A84C"/>
              </a:solidFill>
              <a:effectLst/>
              <a:latin typeface="Crimson Pro Medium" pitchFamily="2" charset="0"/>
              <a:ea typeface="+mn-ea"/>
              <a:cs typeface="+mn-cs"/>
            </a:rPr>
            <a:t>Formal Shirts (21.7%) and Jeans (24.2%) show the lowest sell-through, suggesting overstocking</a:t>
          </a:r>
        </a:p>
        <a:p>
          <a:pPr marL="0" indent="0"/>
          <a:r>
            <a:rPr lang="en-IN" sz="1200" b="0" i="1">
              <a:solidFill>
                <a:srgbClr val="C9A84C"/>
              </a:solidFill>
              <a:effectLst/>
              <a:latin typeface="Crimson Pro Medium" pitchFamily="2" charset="0"/>
              <a:ea typeface="+mn-ea"/>
              <a:cs typeface="+mn-cs"/>
            </a:rPr>
            <a:t>NetBanking preferred for bulk high-value orders</a:t>
          </a:r>
        </a:p>
        <a:p>
          <a:endParaRPr lang="en-IN" sz="1100"/>
        </a:p>
      </xdr:txBody>
    </xdr:sp>
    <xdr:clientData/>
  </xdr:twoCellAnchor>
  <xdr:twoCellAnchor>
    <xdr:from>
      <xdr:col>9</xdr:col>
      <xdr:colOff>266700</xdr:colOff>
      <xdr:row>4</xdr:row>
      <xdr:rowOff>15240</xdr:rowOff>
    </xdr:from>
    <xdr:to>
      <xdr:col>13</xdr:col>
      <xdr:colOff>274320</xdr:colOff>
      <xdr:row>17</xdr:row>
      <xdr:rowOff>152400</xdr:rowOff>
    </xdr:to>
    <xdr:sp macro="" textlink="">
      <xdr:nvSpPr>
        <xdr:cNvPr id="14" name="TextBox 13">
          <a:extLst>
            <a:ext uri="{FF2B5EF4-FFF2-40B4-BE49-F238E27FC236}">
              <a16:creationId xmlns:a16="http://schemas.microsoft.com/office/drawing/2014/main" id="{8BF388FC-B8B2-EFD5-AB5F-E2087C5D026D}"/>
            </a:ext>
          </a:extLst>
        </xdr:cNvPr>
        <xdr:cNvSpPr txBox="1"/>
      </xdr:nvSpPr>
      <xdr:spPr>
        <a:xfrm>
          <a:off x="5753100" y="746760"/>
          <a:ext cx="2446020" cy="251460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u="none" strike="noStrike">
              <a:solidFill>
                <a:srgbClr val="FFCA21"/>
              </a:solidFill>
              <a:effectLst/>
              <a:latin typeface="Crimson Pro" pitchFamily="2" charset="0"/>
              <a:ea typeface="+mn-ea"/>
              <a:cs typeface="+mn-cs"/>
            </a:rPr>
            <a:t>Predictive Analytics</a:t>
          </a:r>
        </a:p>
        <a:p>
          <a:pPr marL="0" indent="0"/>
          <a:r>
            <a:rPr lang="en-IN" sz="1100" b="0" i="1">
              <a:solidFill>
                <a:srgbClr val="FFCA21"/>
              </a:solidFill>
              <a:effectLst/>
              <a:latin typeface="+mn-lt"/>
              <a:ea typeface="+mn-ea"/>
              <a:cs typeface="+mn-cs"/>
            </a:rPr>
            <a:t>"</a:t>
          </a:r>
          <a:r>
            <a:rPr lang="en-IN" sz="1200" b="0" i="1">
              <a:solidFill>
                <a:srgbClr val="FFCA21"/>
              </a:solidFill>
              <a:effectLst/>
              <a:latin typeface="Crimson Pro Medium" pitchFamily="2" charset="0"/>
              <a:ea typeface="+mn-ea"/>
              <a:cs typeface="+mn-cs"/>
            </a:rPr>
            <a:t>What might happen?"</a:t>
          </a:r>
        </a:p>
        <a:p>
          <a:pPr marL="0" indent="0"/>
          <a:r>
            <a:rPr lang="en-IN" sz="1200" b="0" i="1">
              <a:solidFill>
                <a:srgbClr val="FFCA21"/>
              </a:solidFill>
              <a:effectLst/>
              <a:latin typeface="Crimson Pro Medium" pitchFamily="2" charset="0"/>
              <a:ea typeface="+mn-ea"/>
              <a:cs typeface="+mn-cs"/>
            </a:rPr>
            <a:t> Based</a:t>
          </a:r>
          <a:r>
            <a:rPr lang="en-IN" sz="1200" b="0" i="1" baseline="0">
              <a:solidFill>
                <a:srgbClr val="FFCA21"/>
              </a:solidFill>
              <a:effectLst/>
              <a:latin typeface="Crimson Pro Medium" pitchFamily="2" charset="0"/>
              <a:ea typeface="+mn-ea"/>
              <a:cs typeface="+mn-cs"/>
            </a:rPr>
            <a:t> on observed sales patterns,Saree demand may increase during festive season.</a:t>
          </a:r>
          <a:endParaRPr lang="en-IN" sz="1200" b="0" i="1">
            <a:solidFill>
              <a:srgbClr val="FFCA21"/>
            </a:solidFill>
            <a:effectLst/>
            <a:latin typeface="Crimson Pro Medium" pitchFamily="2" charset="0"/>
            <a:ea typeface="+mn-ea"/>
            <a:cs typeface="+mn-cs"/>
          </a:endParaRPr>
        </a:p>
        <a:p>
          <a:pPr marL="0" indent="0"/>
          <a:r>
            <a:rPr lang="en-IN" sz="1200" b="0" i="1">
              <a:solidFill>
                <a:srgbClr val="FFCA21"/>
              </a:solidFill>
              <a:effectLst/>
              <a:latin typeface="Crimson Pro Medium" pitchFamily="2" charset="0"/>
              <a:ea typeface="+mn-ea"/>
              <a:cs typeface="+mn-cs"/>
            </a:rPr>
            <a:t>Revenue per order expected to keep rising</a:t>
          </a:r>
        </a:p>
        <a:p>
          <a:pPr marL="0" indent="0"/>
          <a:r>
            <a:rPr lang="en-IN" sz="1200" b="0" i="1">
              <a:solidFill>
                <a:srgbClr val="FFCA21"/>
              </a:solidFill>
              <a:effectLst/>
              <a:latin typeface="Crimson Pro Medium" pitchFamily="2" charset="0"/>
              <a:ea typeface="+mn-ea"/>
              <a:cs typeface="+mn-cs"/>
            </a:rPr>
            <a:t>UPI adoption will grow further across cities</a:t>
          </a:r>
        </a:p>
        <a:p>
          <a:pPr marL="0" indent="0"/>
          <a:r>
            <a:rPr lang="en-IN" sz="1200" b="0" i="1">
              <a:solidFill>
                <a:srgbClr val="FFCA21"/>
              </a:solidFill>
              <a:effectLst/>
              <a:latin typeface="Crimson Pro Medium" pitchFamily="2" charset="0"/>
              <a:ea typeface="+mn-ea"/>
              <a:cs typeface="+mn-cs"/>
            </a:rPr>
            <a:t>Mysore and Kochi show untapped market potential</a:t>
          </a:r>
        </a:p>
        <a:p>
          <a:pPr marL="0" indent="0"/>
          <a:br>
            <a:rPr lang="en-IN" sz="1100" b="0" i="1">
              <a:solidFill>
                <a:srgbClr val="FFCA21"/>
              </a:solidFill>
              <a:effectLst/>
              <a:latin typeface="+mn-lt"/>
              <a:ea typeface="+mn-ea"/>
              <a:cs typeface="+mn-cs"/>
            </a:rPr>
          </a:br>
          <a:endParaRPr lang="en-IN" sz="1100" b="0" i="1">
            <a:solidFill>
              <a:srgbClr val="FFCA21"/>
            </a:solidFill>
            <a:effectLst/>
            <a:latin typeface="+mn-lt"/>
            <a:ea typeface="+mn-ea"/>
            <a:cs typeface="+mn-cs"/>
          </a:endParaRPr>
        </a:p>
      </xdr:txBody>
    </xdr:sp>
    <xdr:clientData/>
  </xdr:twoCellAnchor>
  <xdr:twoCellAnchor>
    <xdr:from>
      <xdr:col>14</xdr:col>
      <xdr:colOff>106680</xdr:colOff>
      <xdr:row>3</xdr:row>
      <xdr:rowOff>160020</xdr:rowOff>
    </xdr:from>
    <xdr:to>
      <xdr:col>18</xdr:col>
      <xdr:colOff>91440</xdr:colOff>
      <xdr:row>17</xdr:row>
      <xdr:rowOff>137160</xdr:rowOff>
    </xdr:to>
    <xdr:sp macro="" textlink="">
      <xdr:nvSpPr>
        <xdr:cNvPr id="15" name="TextBox 14">
          <a:extLst>
            <a:ext uri="{FF2B5EF4-FFF2-40B4-BE49-F238E27FC236}">
              <a16:creationId xmlns:a16="http://schemas.microsoft.com/office/drawing/2014/main" id="{D73F6C63-AFCE-AD37-8E7F-4AF197A305CB}"/>
            </a:ext>
          </a:extLst>
        </xdr:cNvPr>
        <xdr:cNvSpPr txBox="1"/>
      </xdr:nvSpPr>
      <xdr:spPr>
        <a:xfrm>
          <a:off x="8641080" y="708660"/>
          <a:ext cx="2423160" cy="2537460"/>
        </a:xfrm>
        <a:prstGeom prst="rect">
          <a:avLst/>
        </a:prstGeom>
        <a:solidFill>
          <a:srgbClr val="0D0F18"/>
        </a:solidFill>
        <a:ln w="9525" cmpd="sng">
          <a:solidFill>
            <a:srgbClr val="C9A84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u="none" strike="noStrike">
              <a:solidFill>
                <a:srgbClr val="FFCA21"/>
              </a:solidFill>
              <a:effectLst/>
              <a:latin typeface="Crimson Pro" pitchFamily="2" charset="0"/>
              <a:ea typeface="+mn-ea"/>
              <a:cs typeface="+mn-cs"/>
            </a:rPr>
            <a:t>Prescriptive Analytics</a:t>
          </a:r>
        </a:p>
        <a:p>
          <a:pPr marL="0" indent="0"/>
          <a:r>
            <a:rPr lang="en-IN" sz="1200" b="0" i="1">
              <a:solidFill>
                <a:srgbClr val="FFCA21"/>
              </a:solidFill>
              <a:effectLst/>
              <a:latin typeface="Crimson Pro Medium" pitchFamily="2" charset="0"/>
              <a:ea typeface="+mn-ea"/>
              <a:cs typeface="+mn-cs"/>
            </a:rPr>
            <a:t>"What should be done?"</a:t>
          </a:r>
        </a:p>
        <a:p>
          <a:pPr marL="0" indent="0"/>
          <a:r>
            <a:rPr lang="en-IN" sz="1200" b="0" i="1">
              <a:solidFill>
                <a:srgbClr val="FFCA21"/>
              </a:solidFill>
              <a:effectLst/>
              <a:latin typeface="Crimson Pro Medium" pitchFamily="2" charset="0"/>
              <a:ea typeface="+mn-ea"/>
              <a:cs typeface="+mn-cs"/>
            </a:rPr>
            <a:t>Increase Saree and Ethnic Set stock before festive season</a:t>
          </a:r>
        </a:p>
        <a:p>
          <a:pPr marL="0" indent="0"/>
          <a:r>
            <a:rPr lang="en-IN" sz="1200" b="0" i="1">
              <a:solidFill>
                <a:srgbClr val="FFCA21"/>
              </a:solidFill>
              <a:effectLst/>
              <a:latin typeface="Crimson Pro Medium" pitchFamily="2" charset="0"/>
              <a:ea typeface="+mn-ea"/>
              <a:cs typeface="+mn-cs"/>
            </a:rPr>
            <a:t>Run targeted promotions in Mysore and Kochi</a:t>
          </a:r>
        </a:p>
        <a:p>
          <a:pPr marL="0" indent="0"/>
          <a:r>
            <a:rPr lang="en-IN" sz="1200" b="0" i="1">
              <a:solidFill>
                <a:srgbClr val="FFCA21"/>
              </a:solidFill>
              <a:effectLst/>
              <a:latin typeface="Crimson Pro Medium" pitchFamily="2" charset="0"/>
              <a:ea typeface="+mn-ea"/>
              <a:cs typeface="+mn-cs"/>
            </a:rPr>
            <a:t>Introduce UPI-exclusive discounts to boost digital payments</a:t>
          </a:r>
        </a:p>
        <a:p>
          <a:pPr marL="0" indent="0"/>
          <a:r>
            <a:rPr lang="en-IN" sz="1200" b="0" i="1">
              <a:solidFill>
                <a:srgbClr val="FFCA21"/>
              </a:solidFill>
              <a:effectLst/>
              <a:latin typeface="Crimson Pro Medium" pitchFamily="2" charset="0"/>
              <a:ea typeface="+mn-ea"/>
              <a:cs typeface="+mn-cs"/>
            </a:rPr>
            <a:t>Clearance offers on low sell-through categories</a:t>
          </a:r>
        </a:p>
        <a:p>
          <a:endParaRPr lang="en-IN" sz="1100"/>
        </a:p>
      </xdr:txBody>
    </xdr:sp>
    <xdr:clientData/>
  </xdr:twoCellAnchor>
  <xdr:twoCellAnchor>
    <xdr:from>
      <xdr:col>4</xdr:col>
      <xdr:colOff>228600</xdr:colOff>
      <xdr:row>9</xdr:row>
      <xdr:rowOff>60960</xdr:rowOff>
    </xdr:from>
    <xdr:to>
      <xdr:col>4</xdr:col>
      <xdr:colOff>548640</xdr:colOff>
      <xdr:row>10</xdr:row>
      <xdr:rowOff>121920</xdr:rowOff>
    </xdr:to>
    <xdr:sp macro="" textlink="">
      <xdr:nvSpPr>
        <xdr:cNvPr id="3" name="Arrow: Right 2">
          <a:extLst>
            <a:ext uri="{FF2B5EF4-FFF2-40B4-BE49-F238E27FC236}">
              <a16:creationId xmlns:a16="http://schemas.microsoft.com/office/drawing/2014/main" id="{35E76968-B65E-FB22-0E50-85A05A2D6304}"/>
            </a:ext>
          </a:extLst>
        </xdr:cNvPr>
        <xdr:cNvSpPr/>
      </xdr:nvSpPr>
      <xdr:spPr>
        <a:xfrm>
          <a:off x="2667000" y="1706880"/>
          <a:ext cx="320040" cy="243840"/>
        </a:xfrm>
        <a:prstGeom prst="rightArrow">
          <a:avLst/>
        </a:prstGeom>
        <a:solidFill>
          <a:schemeClr val="bg1">
            <a:lumMod val="95000"/>
          </a:schemeClr>
        </a:solidFill>
        <a:ln>
          <a:solidFill>
            <a:srgbClr val="C9A84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457200</xdr:colOff>
      <xdr:row>9</xdr:row>
      <xdr:rowOff>137160</xdr:rowOff>
    </xdr:from>
    <xdr:to>
      <xdr:col>9</xdr:col>
      <xdr:colOff>167640</xdr:colOff>
      <xdr:row>11</xdr:row>
      <xdr:rowOff>15240</xdr:rowOff>
    </xdr:to>
    <xdr:sp macro="" textlink="">
      <xdr:nvSpPr>
        <xdr:cNvPr id="5" name="Arrow: Right 4">
          <a:extLst>
            <a:ext uri="{FF2B5EF4-FFF2-40B4-BE49-F238E27FC236}">
              <a16:creationId xmlns:a16="http://schemas.microsoft.com/office/drawing/2014/main" id="{F6C3E13E-9E18-405C-8724-E7457D3BFE0E}"/>
            </a:ext>
          </a:extLst>
        </xdr:cNvPr>
        <xdr:cNvSpPr/>
      </xdr:nvSpPr>
      <xdr:spPr>
        <a:xfrm>
          <a:off x="5334000" y="1783080"/>
          <a:ext cx="320040" cy="243840"/>
        </a:xfrm>
        <a:prstGeom prst="rightArrow">
          <a:avLst/>
        </a:prstGeom>
        <a:solidFill>
          <a:schemeClr val="bg1">
            <a:lumMod val="95000"/>
          </a:schemeClr>
        </a:solidFill>
        <a:ln>
          <a:solidFill>
            <a:srgbClr val="C9A84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381000</xdr:colOff>
      <xdr:row>9</xdr:row>
      <xdr:rowOff>137160</xdr:rowOff>
    </xdr:from>
    <xdr:to>
      <xdr:col>14</xdr:col>
      <xdr:colOff>91440</xdr:colOff>
      <xdr:row>11</xdr:row>
      <xdr:rowOff>15240</xdr:rowOff>
    </xdr:to>
    <xdr:sp macro="" textlink="">
      <xdr:nvSpPr>
        <xdr:cNvPr id="6" name="Arrow: Right 5">
          <a:extLst>
            <a:ext uri="{FF2B5EF4-FFF2-40B4-BE49-F238E27FC236}">
              <a16:creationId xmlns:a16="http://schemas.microsoft.com/office/drawing/2014/main" id="{3A70D467-3900-4625-AF89-FB04E8E60487}"/>
            </a:ext>
          </a:extLst>
        </xdr:cNvPr>
        <xdr:cNvSpPr/>
      </xdr:nvSpPr>
      <xdr:spPr>
        <a:xfrm>
          <a:off x="8305800" y="1783080"/>
          <a:ext cx="320040" cy="243840"/>
        </a:xfrm>
        <a:prstGeom prst="rightArrow">
          <a:avLst/>
        </a:prstGeom>
        <a:solidFill>
          <a:schemeClr val="bg1">
            <a:lumMod val="95000"/>
          </a:schemeClr>
        </a:solidFill>
        <a:ln>
          <a:solidFill>
            <a:srgbClr val="C9A84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381000</xdr:colOff>
      <xdr:row>3</xdr:row>
      <xdr:rowOff>167640</xdr:rowOff>
    </xdr:from>
    <xdr:to>
      <xdr:col>0</xdr:col>
      <xdr:colOff>457200</xdr:colOff>
      <xdr:row>17</xdr:row>
      <xdr:rowOff>99060</xdr:rowOff>
    </xdr:to>
    <xdr:sp macro="" textlink="">
      <xdr:nvSpPr>
        <xdr:cNvPr id="7" name="Rectangle 6">
          <a:extLst>
            <a:ext uri="{FF2B5EF4-FFF2-40B4-BE49-F238E27FC236}">
              <a16:creationId xmlns:a16="http://schemas.microsoft.com/office/drawing/2014/main" id="{DD104D1E-7983-0672-AA1A-FC26CAB28260}"/>
            </a:ext>
          </a:extLst>
        </xdr:cNvPr>
        <xdr:cNvSpPr/>
      </xdr:nvSpPr>
      <xdr:spPr>
        <a:xfrm>
          <a:off x="381000" y="716280"/>
          <a:ext cx="76200" cy="2491740"/>
        </a:xfrm>
        <a:prstGeom prst="rect">
          <a:avLst/>
        </a:prstGeom>
        <a:solidFill>
          <a:srgbClr val="FFCA2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563880</xdr:colOff>
      <xdr:row>3</xdr:row>
      <xdr:rowOff>175260</xdr:rowOff>
    </xdr:from>
    <xdr:to>
      <xdr:col>4</xdr:col>
      <xdr:colOff>609599</xdr:colOff>
      <xdr:row>17</xdr:row>
      <xdr:rowOff>129540</xdr:rowOff>
    </xdr:to>
    <xdr:sp macro="" textlink="">
      <xdr:nvSpPr>
        <xdr:cNvPr id="9" name="Rectangle 8">
          <a:extLst>
            <a:ext uri="{FF2B5EF4-FFF2-40B4-BE49-F238E27FC236}">
              <a16:creationId xmlns:a16="http://schemas.microsoft.com/office/drawing/2014/main" id="{DCBD7319-0252-4860-AB34-8398E0D294D1}"/>
            </a:ext>
          </a:extLst>
        </xdr:cNvPr>
        <xdr:cNvSpPr/>
      </xdr:nvSpPr>
      <xdr:spPr>
        <a:xfrm>
          <a:off x="3002280" y="723900"/>
          <a:ext cx="45719" cy="2514600"/>
        </a:xfrm>
        <a:prstGeom prst="rect">
          <a:avLst/>
        </a:prstGeom>
        <a:solidFill>
          <a:srgbClr val="FFCA2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213360</xdr:colOff>
      <xdr:row>4</xdr:row>
      <xdr:rowOff>22860</xdr:rowOff>
    </xdr:from>
    <xdr:to>
      <xdr:col>9</xdr:col>
      <xdr:colOff>274320</xdr:colOff>
      <xdr:row>17</xdr:row>
      <xdr:rowOff>144780</xdr:rowOff>
    </xdr:to>
    <xdr:sp macro="" textlink="">
      <xdr:nvSpPr>
        <xdr:cNvPr id="10" name="Rectangle 9">
          <a:extLst>
            <a:ext uri="{FF2B5EF4-FFF2-40B4-BE49-F238E27FC236}">
              <a16:creationId xmlns:a16="http://schemas.microsoft.com/office/drawing/2014/main" id="{32D04CB1-C3ED-4690-8154-096471AEE1CA}"/>
            </a:ext>
          </a:extLst>
        </xdr:cNvPr>
        <xdr:cNvSpPr/>
      </xdr:nvSpPr>
      <xdr:spPr>
        <a:xfrm>
          <a:off x="5699760" y="754380"/>
          <a:ext cx="60960" cy="2499360"/>
        </a:xfrm>
        <a:prstGeom prst="rect">
          <a:avLst/>
        </a:prstGeom>
        <a:solidFill>
          <a:srgbClr val="FFCA2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114301</xdr:colOff>
      <xdr:row>3</xdr:row>
      <xdr:rowOff>175260</xdr:rowOff>
    </xdr:from>
    <xdr:to>
      <xdr:col>14</xdr:col>
      <xdr:colOff>160020</xdr:colOff>
      <xdr:row>17</xdr:row>
      <xdr:rowOff>129540</xdr:rowOff>
    </xdr:to>
    <xdr:sp macro="" textlink="">
      <xdr:nvSpPr>
        <xdr:cNvPr id="11" name="Rectangle 10">
          <a:extLst>
            <a:ext uri="{FF2B5EF4-FFF2-40B4-BE49-F238E27FC236}">
              <a16:creationId xmlns:a16="http://schemas.microsoft.com/office/drawing/2014/main" id="{63E2EB60-F4E3-40B1-9CD5-577757D8E5C2}"/>
            </a:ext>
          </a:extLst>
        </xdr:cNvPr>
        <xdr:cNvSpPr/>
      </xdr:nvSpPr>
      <xdr:spPr>
        <a:xfrm flipH="1">
          <a:off x="8648701" y="723900"/>
          <a:ext cx="45719" cy="2514600"/>
        </a:xfrm>
        <a:prstGeom prst="rect">
          <a:avLst/>
        </a:prstGeom>
        <a:solidFill>
          <a:srgbClr val="FFCA2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152400</xdr:colOff>
      <xdr:row>3</xdr:row>
      <xdr:rowOff>175260</xdr:rowOff>
    </xdr:from>
    <xdr:to>
      <xdr:col>4</xdr:col>
      <xdr:colOff>198119</xdr:colOff>
      <xdr:row>17</xdr:row>
      <xdr:rowOff>106680</xdr:rowOff>
    </xdr:to>
    <xdr:sp macro="" textlink="">
      <xdr:nvSpPr>
        <xdr:cNvPr id="16" name="Rectangle 15">
          <a:extLst>
            <a:ext uri="{FF2B5EF4-FFF2-40B4-BE49-F238E27FC236}">
              <a16:creationId xmlns:a16="http://schemas.microsoft.com/office/drawing/2014/main" id="{8F90BD5D-8669-4F05-BC07-A07A25F9D80B}"/>
            </a:ext>
          </a:extLst>
        </xdr:cNvPr>
        <xdr:cNvSpPr/>
      </xdr:nvSpPr>
      <xdr:spPr>
        <a:xfrm>
          <a:off x="2590800" y="723900"/>
          <a:ext cx="45719" cy="2491740"/>
        </a:xfrm>
        <a:prstGeom prst="rect">
          <a:avLst/>
        </a:prstGeom>
        <a:solidFill>
          <a:srgbClr val="FFCA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419100</xdr:colOff>
      <xdr:row>4</xdr:row>
      <xdr:rowOff>15240</xdr:rowOff>
    </xdr:from>
    <xdr:to>
      <xdr:col>8</xdr:col>
      <xdr:colOff>464819</xdr:colOff>
      <xdr:row>17</xdr:row>
      <xdr:rowOff>129540</xdr:rowOff>
    </xdr:to>
    <xdr:sp macro="" textlink="">
      <xdr:nvSpPr>
        <xdr:cNvPr id="17" name="Rectangle 16">
          <a:extLst>
            <a:ext uri="{FF2B5EF4-FFF2-40B4-BE49-F238E27FC236}">
              <a16:creationId xmlns:a16="http://schemas.microsoft.com/office/drawing/2014/main" id="{2864E282-0ECE-4B5D-859C-5FF041184FF0}"/>
            </a:ext>
          </a:extLst>
        </xdr:cNvPr>
        <xdr:cNvSpPr/>
      </xdr:nvSpPr>
      <xdr:spPr>
        <a:xfrm>
          <a:off x="5295900" y="746760"/>
          <a:ext cx="45719" cy="2491740"/>
        </a:xfrm>
        <a:prstGeom prst="rect">
          <a:avLst/>
        </a:prstGeom>
        <a:solidFill>
          <a:srgbClr val="FFCA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289560</xdr:colOff>
      <xdr:row>4</xdr:row>
      <xdr:rowOff>30480</xdr:rowOff>
    </xdr:from>
    <xdr:to>
      <xdr:col>13</xdr:col>
      <xdr:colOff>335279</xdr:colOff>
      <xdr:row>17</xdr:row>
      <xdr:rowOff>144780</xdr:rowOff>
    </xdr:to>
    <xdr:sp macro="" textlink="">
      <xdr:nvSpPr>
        <xdr:cNvPr id="18" name="Rectangle 17">
          <a:extLst>
            <a:ext uri="{FF2B5EF4-FFF2-40B4-BE49-F238E27FC236}">
              <a16:creationId xmlns:a16="http://schemas.microsoft.com/office/drawing/2014/main" id="{A68F94F4-DA34-43C8-9B77-BF44423229A8}"/>
            </a:ext>
          </a:extLst>
        </xdr:cNvPr>
        <xdr:cNvSpPr/>
      </xdr:nvSpPr>
      <xdr:spPr>
        <a:xfrm>
          <a:off x="8214360" y="762000"/>
          <a:ext cx="45719" cy="2491740"/>
        </a:xfrm>
        <a:prstGeom prst="rect">
          <a:avLst/>
        </a:prstGeom>
        <a:solidFill>
          <a:srgbClr val="FFCA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60960</xdr:colOff>
      <xdr:row>4</xdr:row>
      <xdr:rowOff>15240</xdr:rowOff>
    </xdr:from>
    <xdr:to>
      <xdr:col>18</xdr:col>
      <xdr:colOff>106679</xdr:colOff>
      <xdr:row>17</xdr:row>
      <xdr:rowOff>129540</xdr:rowOff>
    </xdr:to>
    <xdr:sp macro="" textlink="">
      <xdr:nvSpPr>
        <xdr:cNvPr id="19" name="Rectangle 18">
          <a:extLst>
            <a:ext uri="{FF2B5EF4-FFF2-40B4-BE49-F238E27FC236}">
              <a16:creationId xmlns:a16="http://schemas.microsoft.com/office/drawing/2014/main" id="{A98FE794-1535-4456-9290-26821A7F962D}"/>
            </a:ext>
          </a:extLst>
        </xdr:cNvPr>
        <xdr:cNvSpPr/>
      </xdr:nvSpPr>
      <xdr:spPr>
        <a:xfrm>
          <a:off x="11033760" y="746760"/>
          <a:ext cx="45719" cy="2491740"/>
        </a:xfrm>
        <a:prstGeom prst="rect">
          <a:avLst/>
        </a:prstGeom>
        <a:solidFill>
          <a:srgbClr val="FFCA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281940</xdr:colOff>
      <xdr:row>1</xdr:row>
      <xdr:rowOff>83820</xdr:rowOff>
    </xdr:from>
    <xdr:to>
      <xdr:col>0</xdr:col>
      <xdr:colOff>281940</xdr:colOff>
      <xdr:row>4</xdr:row>
      <xdr:rowOff>129540</xdr:rowOff>
    </xdr:to>
    <xdr:cxnSp macro="">
      <xdr:nvCxnSpPr>
        <xdr:cNvPr id="26" name="Straight Connector 25">
          <a:extLst>
            <a:ext uri="{FF2B5EF4-FFF2-40B4-BE49-F238E27FC236}">
              <a16:creationId xmlns:a16="http://schemas.microsoft.com/office/drawing/2014/main" id="{7EB77EFC-1351-30E4-441D-B3B7BD7BEE5C}"/>
            </a:ext>
          </a:extLst>
        </xdr:cNvPr>
        <xdr:cNvCxnSpPr/>
      </xdr:nvCxnSpPr>
      <xdr:spPr>
        <a:xfrm>
          <a:off x="281940" y="266700"/>
          <a:ext cx="0" cy="59436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266700</xdr:colOff>
      <xdr:row>2</xdr:row>
      <xdr:rowOff>45720</xdr:rowOff>
    </xdr:from>
    <xdr:to>
      <xdr:col>22</xdr:col>
      <xdr:colOff>586740</xdr:colOff>
      <xdr:row>2</xdr:row>
      <xdr:rowOff>106680</xdr:rowOff>
    </xdr:to>
    <xdr:cxnSp macro="">
      <xdr:nvCxnSpPr>
        <xdr:cNvPr id="28" name="Straight Connector 27">
          <a:extLst>
            <a:ext uri="{FF2B5EF4-FFF2-40B4-BE49-F238E27FC236}">
              <a16:creationId xmlns:a16="http://schemas.microsoft.com/office/drawing/2014/main" id="{C4D3C7AD-4549-C078-2E71-C808E71FA1B9}"/>
            </a:ext>
          </a:extLst>
        </xdr:cNvPr>
        <xdr:cNvCxnSpPr/>
      </xdr:nvCxnSpPr>
      <xdr:spPr>
        <a:xfrm>
          <a:off x="3314700" y="411480"/>
          <a:ext cx="10683240" cy="6096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251460</xdr:colOff>
      <xdr:row>0</xdr:row>
      <xdr:rowOff>114300</xdr:rowOff>
    </xdr:from>
    <xdr:to>
      <xdr:col>22</xdr:col>
      <xdr:colOff>281940</xdr:colOff>
      <xdr:row>31</xdr:row>
      <xdr:rowOff>83820</xdr:rowOff>
    </xdr:to>
    <xdr:cxnSp macro="">
      <xdr:nvCxnSpPr>
        <xdr:cNvPr id="31" name="Straight Connector 30">
          <a:extLst>
            <a:ext uri="{FF2B5EF4-FFF2-40B4-BE49-F238E27FC236}">
              <a16:creationId xmlns:a16="http://schemas.microsoft.com/office/drawing/2014/main" id="{FB5AAF13-D4D3-2A54-C28D-B35E01326972}"/>
            </a:ext>
          </a:extLst>
        </xdr:cNvPr>
        <xdr:cNvCxnSpPr/>
      </xdr:nvCxnSpPr>
      <xdr:spPr>
        <a:xfrm>
          <a:off x="13662660" y="114300"/>
          <a:ext cx="30480" cy="563880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266700</xdr:colOff>
      <xdr:row>1</xdr:row>
      <xdr:rowOff>60960</xdr:rowOff>
    </xdr:from>
    <xdr:to>
      <xdr:col>2</xdr:col>
      <xdr:colOff>53340</xdr:colOff>
      <xdr:row>3</xdr:row>
      <xdr:rowOff>91440</xdr:rowOff>
    </xdr:to>
    <xdr:pic>
      <xdr:nvPicPr>
        <xdr:cNvPr id="34" name="Graphic 33" descr="Research with solid fill">
          <a:extLst>
            <a:ext uri="{FF2B5EF4-FFF2-40B4-BE49-F238E27FC236}">
              <a16:creationId xmlns:a16="http://schemas.microsoft.com/office/drawing/2014/main" id="{CD30A0DB-CC7D-02D7-678A-B88430981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6300" y="243840"/>
          <a:ext cx="396240" cy="396240"/>
        </a:xfrm>
        <a:prstGeom prst="rect">
          <a:avLst/>
        </a:prstGeom>
      </xdr:spPr>
    </xdr:pic>
    <xdr:clientData/>
  </xdr:twoCellAnchor>
  <xdr:twoCellAnchor>
    <xdr:from>
      <xdr:col>0</xdr:col>
      <xdr:colOff>411480</xdr:colOff>
      <xdr:row>30</xdr:row>
      <xdr:rowOff>137160</xdr:rowOff>
    </xdr:from>
    <xdr:to>
      <xdr:col>8</xdr:col>
      <xdr:colOff>175260</xdr:colOff>
      <xdr:row>32</xdr:row>
      <xdr:rowOff>60960</xdr:rowOff>
    </xdr:to>
    <xdr:sp macro="" textlink="">
      <xdr:nvSpPr>
        <xdr:cNvPr id="35" name="TextBox 34">
          <a:extLst>
            <a:ext uri="{FF2B5EF4-FFF2-40B4-BE49-F238E27FC236}">
              <a16:creationId xmlns:a16="http://schemas.microsoft.com/office/drawing/2014/main" id="{F5BEA9E8-5BAF-A834-9DD5-421087050D15}"/>
            </a:ext>
          </a:extLst>
        </xdr:cNvPr>
        <xdr:cNvSpPr txBox="1"/>
      </xdr:nvSpPr>
      <xdr:spPr>
        <a:xfrm>
          <a:off x="411480" y="5623560"/>
          <a:ext cx="4640580" cy="289560"/>
        </a:xfrm>
        <a:prstGeom prst="rect">
          <a:avLst/>
        </a:prstGeom>
        <a:solidFill>
          <a:srgbClr val="0D0F18"/>
        </a:solidFill>
        <a:ln w="9525" cmpd="sng">
          <a:solidFill>
            <a:srgbClr val="0D0F1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a:solidFill>
                <a:srgbClr val="FFCA21"/>
              </a:solidFill>
              <a:effectLst/>
              <a:latin typeface="Crimson Pro Medium" pitchFamily="2" charset="0"/>
              <a:ea typeface="+mn-ea"/>
              <a:cs typeface="+mn-cs"/>
            </a:rPr>
            <a:t>Prepared by Fathima Suzain · Data Analytics Portfolio · 2026</a:t>
          </a:r>
          <a:endParaRPr lang="en-IN" sz="1200">
            <a:solidFill>
              <a:srgbClr val="FFCA21"/>
            </a:solidFill>
            <a:latin typeface="Crimson Pro Medium" pitchFamily="2" charset="0"/>
          </a:endParaRPr>
        </a:p>
      </xdr:txBody>
    </xdr:sp>
    <xdr:clientData/>
  </xdr:twoCellAnchor>
  <xdr:twoCellAnchor>
    <xdr:from>
      <xdr:col>7</xdr:col>
      <xdr:colOff>175260</xdr:colOff>
      <xdr:row>31</xdr:row>
      <xdr:rowOff>121920</xdr:rowOff>
    </xdr:from>
    <xdr:to>
      <xdr:col>13</xdr:col>
      <xdr:colOff>289560</xdr:colOff>
      <xdr:row>31</xdr:row>
      <xdr:rowOff>129540</xdr:rowOff>
    </xdr:to>
    <xdr:cxnSp macro="">
      <xdr:nvCxnSpPr>
        <xdr:cNvPr id="37" name="Straight Connector 36">
          <a:extLst>
            <a:ext uri="{FF2B5EF4-FFF2-40B4-BE49-F238E27FC236}">
              <a16:creationId xmlns:a16="http://schemas.microsoft.com/office/drawing/2014/main" id="{6A4D946F-8126-4975-DAFF-ACC1A217468B}"/>
            </a:ext>
          </a:extLst>
        </xdr:cNvPr>
        <xdr:cNvCxnSpPr/>
      </xdr:nvCxnSpPr>
      <xdr:spPr>
        <a:xfrm flipV="1">
          <a:off x="4442460" y="5791200"/>
          <a:ext cx="3771900" cy="7620"/>
        </a:xfrm>
        <a:prstGeom prst="line">
          <a:avLst/>
        </a:prstGeom>
        <a:ln>
          <a:solidFill>
            <a:srgbClr val="FFCA21"/>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0</xdr:colOff>
      <xdr:row>18</xdr:row>
      <xdr:rowOff>45503</xdr:rowOff>
    </xdr:from>
    <xdr:ext cx="6187440" cy="2301457"/>
    <xdr:sp macro="" textlink="">
      <xdr:nvSpPr>
        <xdr:cNvPr id="20" name="Rectangle 19">
          <a:extLst>
            <a:ext uri="{FF2B5EF4-FFF2-40B4-BE49-F238E27FC236}">
              <a16:creationId xmlns:a16="http://schemas.microsoft.com/office/drawing/2014/main" id="{D6D5637F-776F-54F3-DA3D-F723DE61941A}"/>
            </a:ext>
          </a:extLst>
        </xdr:cNvPr>
        <xdr:cNvSpPr/>
      </xdr:nvSpPr>
      <xdr:spPr>
        <a:xfrm>
          <a:off x="0" y="3337343"/>
          <a:ext cx="6187440" cy="2301457"/>
        </a:xfrm>
        <a:prstGeom prst="rect">
          <a:avLst/>
        </a:prstGeom>
        <a:noFill/>
      </xdr:spPr>
      <xdr:txBody>
        <a:bodyPr wrap="square" lIns="91440" tIns="45720" rIns="91440" bIns="45720">
          <a:noAutofit/>
        </a:bodyPr>
        <a:lstStyle/>
        <a:p>
          <a:pPr algn="ctr"/>
          <a:r>
            <a:rPr lang="en-US" sz="7500" b="1" cap="none" spc="0">
              <a:ln w="9525">
                <a:solidFill>
                  <a:srgbClr val="FFC000"/>
                </a:solidFill>
                <a:prstDash val="solid"/>
              </a:ln>
              <a:solidFill>
                <a:schemeClr val="tx1"/>
              </a:solidFill>
              <a:effectLst>
                <a:outerShdw blurRad="12700" dist="38100" dir="2700000" algn="tl" rotWithShape="0">
                  <a:schemeClr val="bg1">
                    <a:lumMod val="50000"/>
                  </a:schemeClr>
                </a:outerShdw>
              </a:effectLst>
              <a:latin typeface="Bebas Neue" panose="020B0606020202050201" pitchFamily="34" charset="0"/>
              <a:ea typeface="+mn-ea"/>
              <a:cs typeface="+mn-cs"/>
            </a:rPr>
            <a:t>ANALYTICS PROCESS FLOW</a:t>
          </a:r>
        </a:p>
      </xdr:txBody>
    </xdr:sp>
    <xdr:clientData/>
  </xdr:oneCellAnchor>
  <xdr:twoCellAnchor>
    <xdr:from>
      <xdr:col>12</xdr:col>
      <xdr:colOff>76200</xdr:colOff>
      <xdr:row>19</xdr:row>
      <xdr:rowOff>30480</xdr:rowOff>
    </xdr:from>
    <xdr:to>
      <xdr:col>14</xdr:col>
      <xdr:colOff>434340</xdr:colOff>
      <xdr:row>22</xdr:row>
      <xdr:rowOff>129540</xdr:rowOff>
    </xdr:to>
    <xdr:sp macro="" textlink="">
      <xdr:nvSpPr>
        <xdr:cNvPr id="21" name="Flowchart: Terminator 20">
          <a:extLst>
            <a:ext uri="{FF2B5EF4-FFF2-40B4-BE49-F238E27FC236}">
              <a16:creationId xmlns:a16="http://schemas.microsoft.com/office/drawing/2014/main" id="{E8D1459A-56CD-383F-61DA-92A4DDC2D48E}"/>
            </a:ext>
          </a:extLst>
        </xdr:cNvPr>
        <xdr:cNvSpPr/>
      </xdr:nvSpPr>
      <xdr:spPr>
        <a:xfrm>
          <a:off x="7391400" y="3505200"/>
          <a:ext cx="1577340" cy="647700"/>
        </a:xfrm>
        <a:prstGeom prst="flowChartTerminator">
          <a:avLst/>
        </a:prstGeom>
        <a:solidFill>
          <a:srgbClr val="0D0F18"/>
        </a:solidFill>
        <a:ln>
          <a:solidFill>
            <a:srgbClr val="C9A84C"/>
          </a:solidFill>
        </a:ln>
        <a:effectLst>
          <a:glow rad="139700">
            <a:schemeClr val="accent2">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C9A84C"/>
              </a:solidFill>
              <a:latin typeface="Algerian" panose="04020705040A02060702" pitchFamily="82" charset="0"/>
            </a:rPr>
            <a:t>DATA COLLECTION</a:t>
          </a:r>
        </a:p>
      </xdr:txBody>
    </xdr:sp>
    <xdr:clientData/>
  </xdr:twoCellAnchor>
  <xdr:twoCellAnchor>
    <xdr:from>
      <xdr:col>15</xdr:col>
      <xdr:colOff>480060</xdr:colOff>
      <xdr:row>19</xdr:row>
      <xdr:rowOff>38100</xdr:rowOff>
    </xdr:from>
    <xdr:to>
      <xdr:col>18</xdr:col>
      <xdr:colOff>289560</xdr:colOff>
      <xdr:row>22</xdr:row>
      <xdr:rowOff>137160</xdr:rowOff>
    </xdr:to>
    <xdr:sp macro="" textlink="">
      <xdr:nvSpPr>
        <xdr:cNvPr id="22" name="Flowchart: Terminator 21">
          <a:extLst>
            <a:ext uri="{FF2B5EF4-FFF2-40B4-BE49-F238E27FC236}">
              <a16:creationId xmlns:a16="http://schemas.microsoft.com/office/drawing/2014/main" id="{A12DFD56-A751-48F3-9D12-93BCA2B49F1D}"/>
            </a:ext>
          </a:extLst>
        </xdr:cNvPr>
        <xdr:cNvSpPr/>
      </xdr:nvSpPr>
      <xdr:spPr>
        <a:xfrm>
          <a:off x="9624060" y="3512820"/>
          <a:ext cx="1638300" cy="647700"/>
        </a:xfrm>
        <a:prstGeom prst="flowChartTerminator">
          <a:avLst/>
        </a:prstGeom>
        <a:solidFill>
          <a:srgbClr val="0D0F18"/>
        </a:solidFill>
        <a:ln>
          <a:solidFill>
            <a:srgbClr val="C9A84C"/>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C9A84C"/>
              </a:solidFill>
              <a:latin typeface="Algerian" panose="04020705040A02060702" pitchFamily="82" charset="0"/>
              <a:ea typeface="+mn-ea"/>
              <a:cs typeface="+mn-cs"/>
            </a:rPr>
            <a:t>DATA</a:t>
          </a:r>
          <a:r>
            <a:rPr lang="en-IN" sz="1100" baseline="0"/>
            <a:t> </a:t>
          </a:r>
          <a:r>
            <a:rPr lang="en-IN" sz="1100" b="1">
              <a:solidFill>
                <a:srgbClr val="C9A84C"/>
              </a:solidFill>
              <a:latin typeface="Algerian" panose="04020705040A02060702" pitchFamily="82" charset="0"/>
              <a:ea typeface="+mn-ea"/>
              <a:cs typeface="+mn-cs"/>
            </a:rPr>
            <a:t>CLEANING</a:t>
          </a:r>
        </a:p>
      </xdr:txBody>
    </xdr:sp>
    <xdr:clientData/>
  </xdr:twoCellAnchor>
  <xdr:twoCellAnchor>
    <xdr:from>
      <xdr:col>19</xdr:col>
      <xdr:colOff>152400</xdr:colOff>
      <xdr:row>19</xdr:row>
      <xdr:rowOff>0</xdr:rowOff>
    </xdr:from>
    <xdr:to>
      <xdr:col>21</xdr:col>
      <xdr:colOff>457200</xdr:colOff>
      <xdr:row>22</xdr:row>
      <xdr:rowOff>76200</xdr:rowOff>
    </xdr:to>
    <xdr:sp macro="" textlink="">
      <xdr:nvSpPr>
        <xdr:cNvPr id="23" name="Flowchart: Terminator 22">
          <a:extLst>
            <a:ext uri="{FF2B5EF4-FFF2-40B4-BE49-F238E27FC236}">
              <a16:creationId xmlns:a16="http://schemas.microsoft.com/office/drawing/2014/main" id="{2A207740-727C-4290-A73F-0C6F295F95AD}"/>
            </a:ext>
          </a:extLst>
        </xdr:cNvPr>
        <xdr:cNvSpPr/>
      </xdr:nvSpPr>
      <xdr:spPr>
        <a:xfrm>
          <a:off x="11734800" y="3474720"/>
          <a:ext cx="1524000" cy="624840"/>
        </a:xfrm>
        <a:prstGeom prst="flowChartTerminator">
          <a:avLst/>
        </a:prstGeom>
        <a:solidFill>
          <a:srgbClr val="0D0F18"/>
        </a:solidFill>
        <a:ln>
          <a:solidFill>
            <a:srgbClr val="C9A84C"/>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rgbClr val="C9A84C"/>
              </a:solidFill>
              <a:latin typeface="Algerian" panose="04020705040A02060702" pitchFamily="82" charset="0"/>
              <a:ea typeface="+mn-ea"/>
              <a:cs typeface="+mn-cs"/>
            </a:rPr>
            <a:t>DATA ANALYSIS</a:t>
          </a:r>
        </a:p>
      </xdr:txBody>
    </xdr:sp>
    <xdr:clientData/>
  </xdr:twoCellAnchor>
  <xdr:twoCellAnchor>
    <xdr:from>
      <xdr:col>10</xdr:col>
      <xdr:colOff>251460</xdr:colOff>
      <xdr:row>24</xdr:row>
      <xdr:rowOff>45720</xdr:rowOff>
    </xdr:from>
    <xdr:to>
      <xdr:col>12</xdr:col>
      <xdr:colOff>579120</xdr:colOff>
      <xdr:row>27</xdr:row>
      <xdr:rowOff>129540</xdr:rowOff>
    </xdr:to>
    <xdr:sp macro="" textlink="">
      <xdr:nvSpPr>
        <xdr:cNvPr id="24" name="Flowchart: Terminator 23">
          <a:extLst>
            <a:ext uri="{FF2B5EF4-FFF2-40B4-BE49-F238E27FC236}">
              <a16:creationId xmlns:a16="http://schemas.microsoft.com/office/drawing/2014/main" id="{9BD40A1B-EEB4-4781-8EFF-2F40E514CF32}"/>
            </a:ext>
          </a:extLst>
        </xdr:cNvPr>
        <xdr:cNvSpPr/>
      </xdr:nvSpPr>
      <xdr:spPr>
        <a:xfrm>
          <a:off x="6347460" y="4434840"/>
          <a:ext cx="1546860" cy="632460"/>
        </a:xfrm>
        <a:prstGeom prst="flowChartTerminator">
          <a:avLst/>
        </a:prstGeom>
        <a:solidFill>
          <a:srgbClr val="0D0F18"/>
        </a:solidFill>
        <a:ln>
          <a:solidFill>
            <a:srgbClr val="C9A84C"/>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rgbClr val="C9A84C"/>
              </a:solidFill>
              <a:latin typeface="Algerian" panose="04020705040A02060702" pitchFamily="82" charset="0"/>
              <a:ea typeface="+mn-ea"/>
              <a:cs typeface="+mn-cs"/>
            </a:rPr>
            <a:t>  VISUALIZATION</a:t>
          </a:r>
        </a:p>
      </xdr:txBody>
    </xdr:sp>
    <xdr:clientData/>
  </xdr:twoCellAnchor>
  <xdr:twoCellAnchor>
    <xdr:from>
      <xdr:col>14</xdr:col>
      <xdr:colOff>60960</xdr:colOff>
      <xdr:row>24</xdr:row>
      <xdr:rowOff>76200</xdr:rowOff>
    </xdr:from>
    <xdr:to>
      <xdr:col>16</xdr:col>
      <xdr:colOff>510540</xdr:colOff>
      <xdr:row>28</xdr:row>
      <xdr:rowOff>7620</xdr:rowOff>
    </xdr:to>
    <xdr:sp macro="" textlink="">
      <xdr:nvSpPr>
        <xdr:cNvPr id="25" name="Flowchart: Terminator 24">
          <a:extLst>
            <a:ext uri="{FF2B5EF4-FFF2-40B4-BE49-F238E27FC236}">
              <a16:creationId xmlns:a16="http://schemas.microsoft.com/office/drawing/2014/main" id="{B2C002BC-7287-463F-8410-9EC5C2CA5F02}"/>
            </a:ext>
          </a:extLst>
        </xdr:cNvPr>
        <xdr:cNvSpPr/>
      </xdr:nvSpPr>
      <xdr:spPr>
        <a:xfrm>
          <a:off x="8595360" y="4465320"/>
          <a:ext cx="1668780" cy="662940"/>
        </a:xfrm>
        <a:prstGeom prst="flowChartTerminator">
          <a:avLst/>
        </a:prstGeom>
        <a:solidFill>
          <a:srgbClr val="0D0F18"/>
        </a:solidFill>
        <a:ln>
          <a:solidFill>
            <a:srgbClr val="C9A84C"/>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C9A84C"/>
              </a:solidFill>
              <a:latin typeface="Algerian" panose="04020705040A02060702" pitchFamily="82" charset="0"/>
              <a:ea typeface="+mn-ea"/>
              <a:cs typeface="+mn-cs"/>
            </a:rPr>
            <a:t>BUSINESS INSIGHTS</a:t>
          </a:r>
        </a:p>
      </xdr:txBody>
    </xdr:sp>
    <xdr:clientData/>
  </xdr:twoCellAnchor>
  <xdr:twoCellAnchor>
    <xdr:from>
      <xdr:col>17</xdr:col>
      <xdr:colOff>495300</xdr:colOff>
      <xdr:row>23</xdr:row>
      <xdr:rowOff>175260</xdr:rowOff>
    </xdr:from>
    <xdr:to>
      <xdr:col>20</xdr:col>
      <xdr:colOff>327660</xdr:colOff>
      <xdr:row>27</xdr:row>
      <xdr:rowOff>152400</xdr:rowOff>
    </xdr:to>
    <xdr:sp macro="" textlink="">
      <xdr:nvSpPr>
        <xdr:cNvPr id="27" name="Flowchart: Terminator 26">
          <a:extLst>
            <a:ext uri="{FF2B5EF4-FFF2-40B4-BE49-F238E27FC236}">
              <a16:creationId xmlns:a16="http://schemas.microsoft.com/office/drawing/2014/main" id="{3A3209D3-3D7E-4241-ADED-1ED1E92B33D8}"/>
            </a:ext>
          </a:extLst>
        </xdr:cNvPr>
        <xdr:cNvSpPr/>
      </xdr:nvSpPr>
      <xdr:spPr>
        <a:xfrm>
          <a:off x="10858500" y="4381500"/>
          <a:ext cx="1661160" cy="708660"/>
        </a:xfrm>
        <a:prstGeom prst="flowChartTerminator">
          <a:avLst/>
        </a:prstGeom>
        <a:solidFill>
          <a:srgbClr val="0D0F18"/>
        </a:solidFill>
        <a:ln>
          <a:solidFill>
            <a:srgbClr val="C9A84C"/>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rgbClr val="C9A84C"/>
              </a:solidFill>
              <a:latin typeface="Algerian" panose="04020705040A02060702" pitchFamily="82" charset="0"/>
              <a:ea typeface="+mn-ea"/>
              <a:cs typeface="+mn-cs"/>
            </a:rPr>
            <a:t>RECOMMENDATIONS</a:t>
          </a:r>
        </a:p>
      </xdr:txBody>
    </xdr:sp>
    <xdr:clientData/>
  </xdr:twoCellAnchor>
  <xdr:twoCellAnchor>
    <xdr:from>
      <xdr:col>15</xdr:col>
      <xdr:colOff>91440</xdr:colOff>
      <xdr:row>19</xdr:row>
      <xdr:rowOff>144780</xdr:rowOff>
    </xdr:from>
    <xdr:to>
      <xdr:col>15</xdr:col>
      <xdr:colOff>312420</xdr:colOff>
      <xdr:row>22</xdr:row>
      <xdr:rowOff>7620</xdr:rowOff>
    </xdr:to>
    <xdr:sp macro="" textlink="">
      <xdr:nvSpPr>
        <xdr:cNvPr id="33" name="Arrow: Chevron 32">
          <a:extLst>
            <a:ext uri="{FF2B5EF4-FFF2-40B4-BE49-F238E27FC236}">
              <a16:creationId xmlns:a16="http://schemas.microsoft.com/office/drawing/2014/main" id="{4EDD37C2-5604-9E63-ADC4-7D531A6833F5}"/>
            </a:ext>
          </a:extLst>
        </xdr:cNvPr>
        <xdr:cNvSpPr/>
      </xdr:nvSpPr>
      <xdr:spPr>
        <a:xfrm>
          <a:off x="9235440" y="3619500"/>
          <a:ext cx="220980" cy="411480"/>
        </a:xfrm>
        <a:prstGeom prst="chevron">
          <a:avLst/>
        </a:prstGeom>
        <a:solidFill>
          <a:schemeClr val="bg1">
            <a:lumMod val="50000"/>
          </a:schemeClr>
        </a:solidFill>
        <a:ln>
          <a:solidFill>
            <a:srgbClr val="FFCA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434340</xdr:colOff>
      <xdr:row>19</xdr:row>
      <xdr:rowOff>160020</xdr:rowOff>
    </xdr:from>
    <xdr:to>
      <xdr:col>19</xdr:col>
      <xdr:colOff>45720</xdr:colOff>
      <xdr:row>22</xdr:row>
      <xdr:rowOff>22860</xdr:rowOff>
    </xdr:to>
    <xdr:sp macro="" textlink="">
      <xdr:nvSpPr>
        <xdr:cNvPr id="36" name="Arrow: Chevron 35">
          <a:extLst>
            <a:ext uri="{FF2B5EF4-FFF2-40B4-BE49-F238E27FC236}">
              <a16:creationId xmlns:a16="http://schemas.microsoft.com/office/drawing/2014/main" id="{3EABD724-29B9-4B69-B258-FDD800815D63}"/>
            </a:ext>
          </a:extLst>
        </xdr:cNvPr>
        <xdr:cNvSpPr/>
      </xdr:nvSpPr>
      <xdr:spPr>
        <a:xfrm>
          <a:off x="11407140" y="3634740"/>
          <a:ext cx="220980" cy="411480"/>
        </a:xfrm>
        <a:prstGeom prst="chevron">
          <a:avLst/>
        </a:prstGeom>
        <a:solidFill>
          <a:schemeClr val="bg1">
            <a:lumMod val="50000"/>
          </a:schemeClr>
        </a:solidFill>
        <a:ln>
          <a:solidFill>
            <a:srgbClr val="FFCA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13</xdr:col>
      <xdr:colOff>129540</xdr:colOff>
      <xdr:row>25</xdr:row>
      <xdr:rowOff>22860</xdr:rowOff>
    </xdr:from>
    <xdr:to>
      <xdr:col>13</xdr:col>
      <xdr:colOff>350520</xdr:colOff>
      <xdr:row>27</xdr:row>
      <xdr:rowOff>68580</xdr:rowOff>
    </xdr:to>
    <xdr:sp macro="" textlink="">
      <xdr:nvSpPr>
        <xdr:cNvPr id="38" name="Arrow: Chevron 37">
          <a:extLst>
            <a:ext uri="{FF2B5EF4-FFF2-40B4-BE49-F238E27FC236}">
              <a16:creationId xmlns:a16="http://schemas.microsoft.com/office/drawing/2014/main" id="{A5B213A8-4ECA-4DDF-8F7F-7A90C445D839}"/>
            </a:ext>
          </a:extLst>
        </xdr:cNvPr>
        <xdr:cNvSpPr/>
      </xdr:nvSpPr>
      <xdr:spPr>
        <a:xfrm>
          <a:off x="8054340" y="4594860"/>
          <a:ext cx="220980" cy="411480"/>
        </a:xfrm>
        <a:prstGeom prst="chevron">
          <a:avLst/>
        </a:prstGeom>
        <a:solidFill>
          <a:schemeClr val="bg1">
            <a:lumMod val="50000"/>
          </a:schemeClr>
        </a:solidFill>
        <a:ln>
          <a:solidFill>
            <a:srgbClr val="FFCA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83820</xdr:colOff>
      <xdr:row>24</xdr:row>
      <xdr:rowOff>144780</xdr:rowOff>
    </xdr:from>
    <xdr:to>
      <xdr:col>17</xdr:col>
      <xdr:colOff>304800</xdr:colOff>
      <xdr:row>27</xdr:row>
      <xdr:rowOff>7620</xdr:rowOff>
    </xdr:to>
    <xdr:sp macro="" textlink="">
      <xdr:nvSpPr>
        <xdr:cNvPr id="39" name="Arrow: Chevron 38">
          <a:extLst>
            <a:ext uri="{FF2B5EF4-FFF2-40B4-BE49-F238E27FC236}">
              <a16:creationId xmlns:a16="http://schemas.microsoft.com/office/drawing/2014/main" id="{5F8E0C5A-EAE7-4AF4-9A69-6CCEF3024154}"/>
            </a:ext>
          </a:extLst>
        </xdr:cNvPr>
        <xdr:cNvSpPr/>
      </xdr:nvSpPr>
      <xdr:spPr>
        <a:xfrm>
          <a:off x="10447020" y="4533900"/>
          <a:ext cx="220980" cy="411480"/>
        </a:xfrm>
        <a:prstGeom prst="chevron">
          <a:avLst/>
        </a:prstGeom>
        <a:solidFill>
          <a:schemeClr val="bg1">
            <a:lumMod val="50000"/>
          </a:schemeClr>
        </a:solidFill>
        <a:ln>
          <a:solidFill>
            <a:srgbClr val="FFCA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6</xdr:row>
      <xdr:rowOff>53340</xdr:rowOff>
    </xdr:from>
    <xdr:to>
      <xdr:col>10</xdr:col>
      <xdr:colOff>601980</xdr:colOff>
      <xdr:row>30</xdr:row>
      <xdr:rowOff>68580</xdr:rowOff>
    </xdr:to>
    <xdr:graphicFrame macro="">
      <xdr:nvGraphicFramePr>
        <xdr:cNvPr id="3" name="Chart 2">
          <a:extLst>
            <a:ext uri="{FF2B5EF4-FFF2-40B4-BE49-F238E27FC236}">
              <a16:creationId xmlns:a16="http://schemas.microsoft.com/office/drawing/2014/main" id="{616D90CF-3D21-33D0-3045-1B33BDD3E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6</xdr:row>
      <xdr:rowOff>91440</xdr:rowOff>
    </xdr:from>
    <xdr:to>
      <xdr:col>17</xdr:col>
      <xdr:colOff>91440</xdr:colOff>
      <xdr:row>19</xdr:row>
      <xdr:rowOff>83820</xdr:rowOff>
    </xdr:to>
    <mc:AlternateContent xmlns:mc="http://schemas.openxmlformats.org/markup-compatibility/2006" xmlns:a14="http://schemas.microsoft.com/office/drawing/2010/main">
      <mc:Choice Requires="a14">
        <xdr:graphicFrame macro="">
          <xdr:nvGraphicFramePr>
            <xdr:cNvPr id="4" name=" Cloth category">
              <a:extLst>
                <a:ext uri="{FF2B5EF4-FFF2-40B4-BE49-F238E27FC236}">
                  <a16:creationId xmlns:a16="http://schemas.microsoft.com/office/drawing/2014/main" id="{80C53D07-AEED-161B-5734-DFD02845627D}"/>
                </a:ext>
              </a:extLst>
            </xdr:cNvPr>
            <xdr:cNvGraphicFramePr/>
          </xdr:nvGraphicFramePr>
          <xdr:xfrm>
            <a:off x="0" y="0"/>
            <a:ext cx="0" cy="0"/>
          </xdr:xfrm>
          <a:graphic>
            <a:graphicData uri="http://schemas.microsoft.com/office/drawing/2010/slicer">
              <sle:slicer xmlns:sle="http://schemas.microsoft.com/office/drawing/2010/slicer" name=" Cloth category"/>
            </a:graphicData>
          </a:graphic>
        </xdr:graphicFrame>
      </mc:Choice>
      <mc:Fallback xmlns="">
        <xdr:sp macro="" textlink="">
          <xdr:nvSpPr>
            <xdr:cNvPr id="0" name=""/>
            <xdr:cNvSpPr>
              <a:spLocks noTextEdit="1"/>
            </xdr:cNvSpPr>
          </xdr:nvSpPr>
          <xdr:spPr>
            <a:xfrm>
              <a:off x="6964680" y="1798320"/>
              <a:ext cx="3573780" cy="236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213360</xdr:colOff>
      <xdr:row>1</xdr:row>
      <xdr:rowOff>53340</xdr:rowOff>
    </xdr:from>
    <xdr:to>
      <xdr:col>19</xdr:col>
      <xdr:colOff>1844040</xdr:colOff>
      <xdr:row>4</xdr:row>
      <xdr:rowOff>30480</xdr:rowOff>
    </xdr:to>
    <xdr:sp macro="" textlink="">
      <xdr:nvSpPr>
        <xdr:cNvPr id="2" name="Rectangle: Rounded Corners 1">
          <a:extLst>
            <a:ext uri="{FF2B5EF4-FFF2-40B4-BE49-F238E27FC236}">
              <a16:creationId xmlns:a16="http://schemas.microsoft.com/office/drawing/2014/main" id="{114C1CB3-7B0B-49D6-A090-0009869AB2C2}"/>
            </a:ext>
          </a:extLst>
        </xdr:cNvPr>
        <xdr:cNvSpPr/>
      </xdr:nvSpPr>
      <xdr:spPr>
        <a:xfrm>
          <a:off x="10728960" y="838200"/>
          <a:ext cx="2849880" cy="533400"/>
        </a:xfrm>
        <a:prstGeom prst="roundRect">
          <a:avLst/>
        </a:prstGeom>
        <a:solidFill>
          <a:schemeClr val="tx1"/>
        </a:solidFill>
        <a:ln>
          <a:solidFill>
            <a:srgbClr val="FFC000"/>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2400" b="1"/>
            <a:t>   </a:t>
          </a:r>
          <a:r>
            <a:rPr lang="en-IN" sz="2400" b="1">
              <a:solidFill>
                <a:schemeClr val="bg1"/>
              </a:solidFill>
              <a:latin typeface="Aptos" panose="020B0004020202020204" pitchFamily="34" charset="0"/>
            </a:rPr>
            <a:t>KEY</a:t>
          </a:r>
          <a:r>
            <a:rPr lang="en-IN" sz="2400" b="1" baseline="0">
              <a:solidFill>
                <a:schemeClr val="bg1"/>
              </a:solidFill>
              <a:latin typeface="Aptos" panose="020B0004020202020204" pitchFamily="34" charset="0"/>
            </a:rPr>
            <a:t> INSIGHTS</a:t>
          </a:r>
          <a:endParaRPr lang="en-IN" sz="2400" b="1">
            <a:solidFill>
              <a:schemeClr val="bg1"/>
            </a:solidFill>
            <a:latin typeface="Aptos" panose="020B0004020202020204" pitchFamily="34" charset="0"/>
          </a:endParaRPr>
        </a:p>
      </xdr:txBody>
    </xdr:sp>
    <xdr:clientData/>
  </xdr:twoCellAnchor>
  <xdr:twoCellAnchor>
    <xdr:from>
      <xdr:col>17</xdr:col>
      <xdr:colOff>137160</xdr:colOff>
      <xdr:row>4</xdr:row>
      <xdr:rowOff>60960</xdr:rowOff>
    </xdr:from>
    <xdr:to>
      <xdr:col>20</xdr:col>
      <xdr:colOff>38100</xdr:colOff>
      <xdr:row>22</xdr:row>
      <xdr:rowOff>76200</xdr:rowOff>
    </xdr:to>
    <xdr:sp macro="" textlink="">
      <xdr:nvSpPr>
        <xdr:cNvPr id="5" name="Rectangle: Rounded Corners 4">
          <a:extLst>
            <a:ext uri="{FF2B5EF4-FFF2-40B4-BE49-F238E27FC236}">
              <a16:creationId xmlns:a16="http://schemas.microsoft.com/office/drawing/2014/main" id="{235C7BA6-D600-4C3E-B885-709DF557070C}"/>
            </a:ext>
          </a:extLst>
        </xdr:cNvPr>
        <xdr:cNvSpPr/>
      </xdr:nvSpPr>
      <xdr:spPr>
        <a:xfrm>
          <a:off x="10652760" y="1402080"/>
          <a:ext cx="3124200" cy="3307080"/>
        </a:xfrm>
        <a:prstGeom prst="roundRect">
          <a:avLst/>
        </a:prstGeom>
        <a:ln>
          <a:solidFill>
            <a:srgbClr val="FFC000"/>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marL="0" indent="0" algn="l"/>
          <a:endParaRPr lang="en-IN"/>
        </a:p>
      </xdr:txBody>
    </xdr:sp>
    <xdr:clientData/>
  </xdr:twoCellAnchor>
  <xdr:twoCellAnchor>
    <xdr:from>
      <xdr:col>17</xdr:col>
      <xdr:colOff>365760</xdr:colOff>
      <xdr:row>5</xdr:row>
      <xdr:rowOff>137160</xdr:rowOff>
    </xdr:from>
    <xdr:to>
      <xdr:col>19</xdr:col>
      <xdr:colOff>1592580</xdr:colOff>
      <xdr:row>21</xdr:row>
      <xdr:rowOff>68580</xdr:rowOff>
    </xdr:to>
    <xdr:sp macro="" textlink="">
      <xdr:nvSpPr>
        <xdr:cNvPr id="6" name="Rectangle 5">
          <a:extLst>
            <a:ext uri="{FF2B5EF4-FFF2-40B4-BE49-F238E27FC236}">
              <a16:creationId xmlns:a16="http://schemas.microsoft.com/office/drawing/2014/main" id="{E2FE37B0-FF74-585C-49D2-696D76467C86}"/>
            </a:ext>
          </a:extLst>
        </xdr:cNvPr>
        <xdr:cNvSpPr/>
      </xdr:nvSpPr>
      <xdr:spPr>
        <a:xfrm>
          <a:off x="10881360" y="1661160"/>
          <a:ext cx="2446020" cy="28575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IN"/>
            <a:t> </a:t>
          </a:r>
        </a:p>
        <a:p>
          <a:pPr marL="171450" indent="-171450">
            <a:buFont typeface="Wingdings" panose="05000000000000000000" pitchFamily="2" charset="2"/>
            <a:buChar char="Ø"/>
          </a:pPr>
          <a:r>
            <a:rPr lang="en-IN" sz="1200">
              <a:latin typeface="Bebas Neue" panose="020B0606020202050201" pitchFamily="34" charset="0"/>
            </a:rPr>
            <a:t> </a:t>
          </a:r>
          <a:r>
            <a:rPr lang="en-IN" sz="1200">
              <a:solidFill>
                <a:schemeClr val="bg1"/>
              </a:solidFill>
              <a:latin typeface="Bebas Neue" panose="020B0606020202050201" pitchFamily="34" charset="0"/>
            </a:rPr>
            <a:t>April had the highest orders (62) with ₹2,12,768 in revenue.</a:t>
          </a:r>
        </a:p>
        <a:p>
          <a:pPr marL="171450" indent="-171450">
            <a:buFont typeface="Wingdings" panose="05000000000000000000" pitchFamily="2" charset="2"/>
            <a:buChar char="Ø"/>
          </a:pPr>
          <a:r>
            <a:rPr lang="en-IN" sz="1200">
              <a:solidFill>
                <a:schemeClr val="bg1"/>
              </a:solidFill>
              <a:latin typeface="Bebas Neue" panose="020B0606020202050201" pitchFamily="34" charset="0"/>
            </a:rPr>
            <a:t> Orders dropped steadily from April (62) to June (30).</a:t>
          </a:r>
        </a:p>
        <a:p>
          <a:pPr marL="171450" indent="-171450">
            <a:buFont typeface="Wingdings" panose="05000000000000000000" pitchFamily="2" charset="2"/>
            <a:buChar char="Ø"/>
          </a:pPr>
          <a:r>
            <a:rPr lang="en-IN" sz="1200">
              <a:solidFill>
                <a:schemeClr val="bg1"/>
              </a:solidFill>
              <a:latin typeface="Bebas Neue" panose="020B0606020202050201" pitchFamily="34" charset="0"/>
            </a:rPr>
            <a:t> June had the fewest orders yet generated the highest revenue (₹2,42,347).</a:t>
          </a:r>
        </a:p>
        <a:p>
          <a:pPr marL="171450" indent="-171450">
            <a:buFont typeface="Wingdings" panose="05000000000000000000" pitchFamily="2" charset="2"/>
            <a:buChar char="Ø"/>
          </a:pPr>
          <a:r>
            <a:rPr lang="en-IN" sz="1200">
              <a:solidFill>
                <a:schemeClr val="bg1"/>
              </a:solidFill>
              <a:latin typeface="Bebas Neue" panose="020B0606020202050201" pitchFamily="34" charset="0"/>
            </a:rPr>
            <a:t>Higher-value purchases in June drove revenue up despite fewer orders.</a:t>
          </a:r>
        </a:p>
        <a:p>
          <a:pPr marL="171450" indent="-171450">
            <a:buFont typeface="Wingdings" panose="05000000000000000000" pitchFamily="2" charset="2"/>
            <a:buChar char="Ø"/>
          </a:pPr>
          <a:r>
            <a:rPr lang="en-IN" sz="1200">
              <a:solidFill>
                <a:schemeClr val="bg1"/>
              </a:solidFill>
              <a:latin typeface="Bebas Neue" panose="020B0606020202050201" pitchFamily="34" charset="0"/>
            </a:rPr>
            <a:t> April to May revenue stayed stable even with 14 fewer orders.</a:t>
          </a:r>
        </a:p>
        <a:p>
          <a:pPr marL="171450" indent="-171450">
            <a:buFont typeface="Wingdings" panose="05000000000000000000" pitchFamily="2" charset="2"/>
            <a:buChar char="Ø"/>
          </a:pPr>
          <a:r>
            <a:rPr lang="en-IN" sz="1200">
              <a:solidFill>
                <a:schemeClr val="bg1"/>
              </a:solidFill>
              <a:latin typeface="Bebas Neue" panose="020B0606020202050201" pitchFamily="34" charset="0"/>
            </a:rPr>
            <a:t> June was the most efficient month  highest revenue, lowest orders.</a:t>
          </a:r>
        </a:p>
      </xdr:txBody>
    </xdr:sp>
    <xdr:clientData/>
  </xdr:twoCellAnchor>
  <xdr:twoCellAnchor editAs="oneCell">
    <xdr:from>
      <xdr:col>4</xdr:col>
      <xdr:colOff>373380</xdr:colOff>
      <xdr:row>0</xdr:row>
      <xdr:rowOff>365760</xdr:rowOff>
    </xdr:from>
    <xdr:to>
      <xdr:col>5</xdr:col>
      <xdr:colOff>518160</xdr:colOff>
      <xdr:row>1</xdr:row>
      <xdr:rowOff>22860</xdr:rowOff>
    </xdr:to>
    <xdr:pic>
      <xdr:nvPicPr>
        <xdr:cNvPr id="8" name="Graphic 7" descr="Daily calendar with solid fill">
          <a:extLst>
            <a:ext uri="{FF2B5EF4-FFF2-40B4-BE49-F238E27FC236}">
              <a16:creationId xmlns:a16="http://schemas.microsoft.com/office/drawing/2014/main" id="{DB995DE1-5284-CCA1-A1C1-F91DD7D8CB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78480" y="365760"/>
          <a:ext cx="754380" cy="403860"/>
        </a:xfrm>
        <a:prstGeom prst="rect">
          <a:avLst/>
        </a:prstGeom>
      </xdr:spPr>
    </xdr:pic>
    <xdr:clientData/>
  </xdr:twoCellAnchor>
  <xdr:twoCellAnchor>
    <xdr:from>
      <xdr:col>1</xdr:col>
      <xdr:colOff>358140</xdr:colOff>
      <xdr:row>1</xdr:row>
      <xdr:rowOff>7620</xdr:rowOff>
    </xdr:from>
    <xdr:to>
      <xdr:col>22</xdr:col>
      <xdr:colOff>76200</xdr:colOff>
      <xdr:row>1</xdr:row>
      <xdr:rowOff>45720</xdr:rowOff>
    </xdr:to>
    <xdr:cxnSp macro="">
      <xdr:nvCxnSpPr>
        <xdr:cNvPr id="14" name="Straight Connector 13">
          <a:extLst>
            <a:ext uri="{FF2B5EF4-FFF2-40B4-BE49-F238E27FC236}">
              <a16:creationId xmlns:a16="http://schemas.microsoft.com/office/drawing/2014/main" id="{7FCDD197-D41F-F022-8B21-807115C4DAF4}"/>
            </a:ext>
          </a:extLst>
        </xdr:cNvPr>
        <xdr:cNvCxnSpPr/>
      </xdr:nvCxnSpPr>
      <xdr:spPr>
        <a:xfrm>
          <a:off x="1059180" y="792480"/>
          <a:ext cx="13975080" cy="3810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320040</xdr:colOff>
      <xdr:row>0</xdr:row>
      <xdr:rowOff>297180</xdr:rowOff>
    </xdr:from>
    <xdr:to>
      <xdr:col>4</xdr:col>
      <xdr:colOff>434340</xdr:colOff>
      <xdr:row>0</xdr:row>
      <xdr:rowOff>708660</xdr:rowOff>
    </xdr:to>
    <xdr:sp macro="" textlink="">
      <xdr:nvSpPr>
        <xdr:cNvPr id="17" name="Rectangle: Rounded Corners 16">
          <a:extLst>
            <a:ext uri="{FF2B5EF4-FFF2-40B4-BE49-F238E27FC236}">
              <a16:creationId xmlns:a16="http://schemas.microsoft.com/office/drawing/2014/main" id="{B04A786F-5211-0A79-09DF-4E385851FE56}"/>
            </a:ext>
          </a:extLst>
        </xdr:cNvPr>
        <xdr:cNvSpPr/>
      </xdr:nvSpPr>
      <xdr:spPr>
        <a:xfrm>
          <a:off x="3025140" y="297180"/>
          <a:ext cx="114300" cy="411480"/>
        </a:xfrm>
        <a:prstGeom prst="roundRect">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708660</xdr:colOff>
      <xdr:row>0</xdr:row>
      <xdr:rowOff>30480</xdr:rowOff>
    </xdr:from>
    <xdr:to>
      <xdr:col>19</xdr:col>
      <xdr:colOff>1790700</xdr:colOff>
      <xdr:row>0</xdr:row>
      <xdr:rowOff>746760</xdr:rowOff>
    </xdr:to>
    <xdr:sp macro="" textlink="">
      <xdr:nvSpPr>
        <xdr:cNvPr id="18" name="Oval 17">
          <a:extLst>
            <a:ext uri="{FF2B5EF4-FFF2-40B4-BE49-F238E27FC236}">
              <a16:creationId xmlns:a16="http://schemas.microsoft.com/office/drawing/2014/main" id="{1F96ED2B-53A8-4106-4DF7-11A93B859613}"/>
            </a:ext>
          </a:extLst>
        </xdr:cNvPr>
        <xdr:cNvSpPr/>
      </xdr:nvSpPr>
      <xdr:spPr>
        <a:xfrm>
          <a:off x="12443460" y="30480"/>
          <a:ext cx="1082040" cy="716280"/>
        </a:xfrm>
        <a:prstGeom prst="ellipse">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Crimson Pro" pitchFamily="2" charset="0"/>
            </a:rPr>
            <a:t>SHEET</a:t>
          </a:r>
          <a:r>
            <a:rPr lang="en-IN" sz="1100" b="1" baseline="0">
              <a:solidFill>
                <a:schemeClr val="tx1"/>
              </a:solidFill>
              <a:latin typeface="Crimson Pro" pitchFamily="2" charset="0"/>
            </a:rPr>
            <a:t> </a:t>
          </a:r>
          <a:r>
            <a:rPr lang="en-IN" sz="1100" b="1">
              <a:solidFill>
                <a:schemeClr val="tx1"/>
              </a:solidFill>
              <a:latin typeface="Crimson Pro" pitchFamily="2" charset="0"/>
            </a:rPr>
            <a:t>01</a:t>
          </a:r>
        </a:p>
        <a:p>
          <a:pPr algn="l"/>
          <a:r>
            <a:rPr lang="en-IN" sz="1100" b="1">
              <a:solidFill>
                <a:schemeClr val="tx1"/>
              </a:solidFill>
              <a:latin typeface="Crimson Pro" pitchFamily="2" charset="0"/>
            </a:rPr>
            <a:t> </a:t>
          </a:r>
        </a:p>
      </xdr:txBody>
    </xdr:sp>
    <xdr:clientData/>
  </xdr:twoCellAnchor>
  <xdr:twoCellAnchor>
    <xdr:from>
      <xdr:col>0</xdr:col>
      <xdr:colOff>99060</xdr:colOff>
      <xdr:row>0</xdr:row>
      <xdr:rowOff>167640</xdr:rowOff>
    </xdr:from>
    <xdr:to>
      <xdr:col>1</xdr:col>
      <xdr:colOff>624840</xdr:colOff>
      <xdr:row>0</xdr:row>
      <xdr:rowOff>632460</xdr:rowOff>
    </xdr:to>
    <xdr:sp macro="" textlink="">
      <xdr:nvSpPr>
        <xdr:cNvPr id="7" name="Rectangle: Rounded Corners 6">
          <a:extLst>
            <a:ext uri="{FF2B5EF4-FFF2-40B4-BE49-F238E27FC236}">
              <a16:creationId xmlns:a16="http://schemas.microsoft.com/office/drawing/2014/main" id="{5E3E7D77-797A-C519-1DF1-BE9CFB0B3A74}"/>
            </a:ext>
          </a:extLst>
        </xdr:cNvPr>
        <xdr:cNvSpPr/>
      </xdr:nvSpPr>
      <xdr:spPr>
        <a:xfrm>
          <a:off x="99060" y="167640"/>
          <a:ext cx="1226820" cy="464820"/>
        </a:xfrm>
        <a:prstGeom prst="roundRect">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chemeClr val="tx1"/>
              </a:solidFill>
              <a:latin typeface="Crimson Pro" pitchFamily="2" charset="0"/>
              <a:ea typeface="+mn-ea"/>
              <a:cs typeface="+mn-cs"/>
            </a:rPr>
            <a:t>PIVOT</a:t>
          </a:r>
          <a:r>
            <a:rPr lang="en-IN" sz="1100" b="1" baseline="0">
              <a:solidFill>
                <a:schemeClr val="tx1"/>
              </a:solidFill>
              <a:latin typeface="Crimson Pro" pitchFamily="2" charset="0"/>
              <a:ea typeface="+mn-ea"/>
              <a:cs typeface="+mn-cs"/>
            </a:rPr>
            <a:t> TABLES -01</a:t>
          </a:r>
          <a:endParaRPr lang="en-IN" sz="1100" b="1">
            <a:solidFill>
              <a:schemeClr val="tx1"/>
            </a:solidFill>
            <a:latin typeface="Crimson Pro" pitchFamily="2" charset="0"/>
            <a:ea typeface="+mn-ea"/>
            <a:cs typeface="+mn-cs"/>
          </a:endParaRPr>
        </a:p>
      </xdr:txBody>
    </xdr:sp>
    <xdr:clientData/>
  </xdr:twoCellAnchor>
  <xdr:twoCellAnchor>
    <xdr:from>
      <xdr:col>11</xdr:col>
      <xdr:colOff>373380</xdr:colOff>
      <xdr:row>23</xdr:row>
      <xdr:rowOff>83820</xdr:rowOff>
    </xdr:from>
    <xdr:to>
      <xdr:col>13</xdr:col>
      <xdr:colOff>289560</xdr:colOff>
      <xdr:row>27</xdr:row>
      <xdr:rowOff>114300</xdr:rowOff>
    </xdr:to>
    <xdr:sp macro="" textlink="">
      <xdr:nvSpPr>
        <xdr:cNvPr id="11" name="Rectangle 10">
          <a:extLst>
            <a:ext uri="{FF2B5EF4-FFF2-40B4-BE49-F238E27FC236}">
              <a16:creationId xmlns:a16="http://schemas.microsoft.com/office/drawing/2014/main" id="{985BA8BE-5932-4CAB-85A2-984C87488E6A}"/>
            </a:ext>
          </a:extLst>
        </xdr:cNvPr>
        <xdr:cNvSpPr/>
      </xdr:nvSpPr>
      <xdr:spPr>
        <a:xfrm>
          <a:off x="7330440" y="4899660"/>
          <a:ext cx="1135380" cy="762000"/>
        </a:xfrm>
        <a:prstGeom prst="rect">
          <a:avLst/>
        </a:prstGeom>
        <a:ln>
          <a:solidFill>
            <a:srgbClr val="FFC000"/>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marL="0" indent="0" algn="ctr"/>
          <a:r>
            <a:rPr lang="en-IN" sz="1100">
              <a:solidFill>
                <a:schemeClr val="accent2"/>
              </a:solidFill>
              <a:latin typeface="+mn-lt"/>
              <a:ea typeface="+mn-ea"/>
              <a:cs typeface="+mn-cs"/>
            </a:rPr>
            <a:t> </a:t>
          </a:r>
          <a:r>
            <a:rPr lang="en-IN" sz="1600" b="1">
              <a:solidFill>
                <a:schemeClr val="accent2"/>
              </a:solidFill>
              <a:latin typeface="+mn-lt"/>
              <a:ea typeface="+mn-ea"/>
              <a:cs typeface="+mn-cs"/>
            </a:rPr>
            <a:t>62 </a:t>
          </a:r>
        </a:p>
        <a:p>
          <a:pPr marL="0" indent="0" algn="ctr"/>
          <a:r>
            <a:rPr lang="en-IN" sz="1400" b="1">
              <a:solidFill>
                <a:schemeClr val="bg2"/>
              </a:solidFill>
              <a:latin typeface="Crimson Pro" pitchFamily="2" charset="0"/>
              <a:ea typeface="+mn-ea"/>
              <a:cs typeface="+mn-cs"/>
            </a:rPr>
            <a:t>APRIL</a:t>
          </a:r>
        </a:p>
        <a:p>
          <a:pPr marL="0" indent="0" algn="ctr"/>
          <a:r>
            <a:rPr lang="en-IN" sz="1400" b="1" baseline="0">
              <a:solidFill>
                <a:schemeClr val="bg2"/>
              </a:solidFill>
              <a:latin typeface="Crimson Pro" pitchFamily="2" charset="0"/>
              <a:ea typeface="+mn-ea"/>
              <a:cs typeface="+mn-cs"/>
            </a:rPr>
            <a:t>ORDER</a:t>
          </a:r>
          <a:endParaRPr lang="en-IN" sz="1400">
            <a:solidFill>
              <a:schemeClr val="bg2"/>
            </a:solidFill>
            <a:latin typeface="Crimson Pro" pitchFamily="2" charset="0"/>
            <a:ea typeface="+mn-ea"/>
            <a:cs typeface="+mn-cs"/>
          </a:endParaRPr>
        </a:p>
      </xdr:txBody>
    </xdr:sp>
    <xdr:clientData/>
  </xdr:twoCellAnchor>
  <xdr:twoCellAnchor>
    <xdr:from>
      <xdr:col>13</xdr:col>
      <xdr:colOff>434340</xdr:colOff>
      <xdr:row>23</xdr:row>
      <xdr:rowOff>76200</xdr:rowOff>
    </xdr:from>
    <xdr:to>
      <xdr:col>15</xdr:col>
      <xdr:colOff>312420</xdr:colOff>
      <xdr:row>27</xdr:row>
      <xdr:rowOff>106680</xdr:rowOff>
    </xdr:to>
    <xdr:sp macro="" textlink="">
      <xdr:nvSpPr>
        <xdr:cNvPr id="12" name="Rectangle 11">
          <a:extLst>
            <a:ext uri="{FF2B5EF4-FFF2-40B4-BE49-F238E27FC236}">
              <a16:creationId xmlns:a16="http://schemas.microsoft.com/office/drawing/2014/main" id="{E44AEA86-A436-4774-8E8B-278BCA849AE7}"/>
            </a:ext>
          </a:extLst>
        </xdr:cNvPr>
        <xdr:cNvSpPr/>
      </xdr:nvSpPr>
      <xdr:spPr>
        <a:xfrm>
          <a:off x="8625840" y="4892040"/>
          <a:ext cx="1097280" cy="762000"/>
        </a:xfrm>
        <a:prstGeom prst="rect">
          <a:avLst/>
        </a:prstGeom>
        <a:ln>
          <a:solidFill>
            <a:srgbClr val="FFC000"/>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marL="0" indent="0" algn="ctr"/>
          <a:r>
            <a:rPr lang="en-IN" sz="1100">
              <a:solidFill>
                <a:schemeClr val="accent2"/>
              </a:solidFill>
              <a:latin typeface="+mn-lt"/>
              <a:ea typeface="+mn-ea"/>
              <a:cs typeface="+mn-cs"/>
            </a:rPr>
            <a:t> </a:t>
          </a:r>
          <a:r>
            <a:rPr lang="en-IN" sz="1600" b="1">
              <a:solidFill>
                <a:schemeClr val="accent2"/>
              </a:solidFill>
              <a:latin typeface="+mn-lt"/>
              <a:ea typeface="+mn-ea"/>
              <a:cs typeface="+mn-cs"/>
            </a:rPr>
            <a:t>48</a:t>
          </a:r>
        </a:p>
        <a:p>
          <a:pPr marL="0" indent="0" algn="ctr"/>
          <a:r>
            <a:rPr lang="en-IN" sz="1400" b="1">
              <a:solidFill>
                <a:schemeClr val="bg2"/>
              </a:solidFill>
              <a:latin typeface="Crimson Pro" pitchFamily="2" charset="0"/>
              <a:ea typeface="+mn-ea"/>
              <a:cs typeface="+mn-cs"/>
            </a:rPr>
            <a:t> MAY</a:t>
          </a:r>
        </a:p>
        <a:p>
          <a:pPr marL="0" indent="0" algn="ctr"/>
          <a:r>
            <a:rPr lang="en-IN" sz="1400" b="1" baseline="0">
              <a:solidFill>
                <a:schemeClr val="bg2"/>
              </a:solidFill>
              <a:latin typeface="Crimson Pro" pitchFamily="2" charset="0"/>
              <a:ea typeface="+mn-ea"/>
              <a:cs typeface="+mn-cs"/>
            </a:rPr>
            <a:t>ORDER</a:t>
          </a:r>
          <a:endParaRPr lang="en-IN" sz="1400">
            <a:solidFill>
              <a:schemeClr val="bg2"/>
            </a:solidFill>
            <a:latin typeface="Crimson Pro" pitchFamily="2" charset="0"/>
            <a:ea typeface="+mn-ea"/>
            <a:cs typeface="+mn-cs"/>
          </a:endParaRPr>
        </a:p>
      </xdr:txBody>
    </xdr:sp>
    <xdr:clientData/>
  </xdr:twoCellAnchor>
  <xdr:twoCellAnchor>
    <xdr:from>
      <xdr:col>15</xdr:col>
      <xdr:colOff>411480</xdr:colOff>
      <xdr:row>23</xdr:row>
      <xdr:rowOff>68580</xdr:rowOff>
    </xdr:from>
    <xdr:to>
      <xdr:col>17</xdr:col>
      <xdr:colOff>289560</xdr:colOff>
      <xdr:row>27</xdr:row>
      <xdr:rowOff>99060</xdr:rowOff>
    </xdr:to>
    <xdr:sp macro="" textlink="">
      <xdr:nvSpPr>
        <xdr:cNvPr id="13" name="Rectangle 12">
          <a:extLst>
            <a:ext uri="{FF2B5EF4-FFF2-40B4-BE49-F238E27FC236}">
              <a16:creationId xmlns:a16="http://schemas.microsoft.com/office/drawing/2014/main" id="{E9C6CF28-5917-4068-8EE7-6995C4AF4272}"/>
            </a:ext>
          </a:extLst>
        </xdr:cNvPr>
        <xdr:cNvSpPr/>
      </xdr:nvSpPr>
      <xdr:spPr>
        <a:xfrm>
          <a:off x="9822180" y="4884420"/>
          <a:ext cx="1097280" cy="762000"/>
        </a:xfrm>
        <a:prstGeom prst="rect">
          <a:avLst/>
        </a:prstGeom>
        <a:ln>
          <a:solidFill>
            <a:srgbClr val="FFC000"/>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marL="0" indent="0" algn="ctr"/>
          <a:r>
            <a:rPr lang="en-IN" sz="1100">
              <a:solidFill>
                <a:schemeClr val="accent2"/>
              </a:solidFill>
              <a:latin typeface="+mn-lt"/>
              <a:ea typeface="+mn-ea"/>
              <a:cs typeface="+mn-cs"/>
            </a:rPr>
            <a:t> </a:t>
          </a:r>
          <a:r>
            <a:rPr lang="en-IN" sz="1600" b="1">
              <a:solidFill>
                <a:schemeClr val="accent2"/>
              </a:solidFill>
              <a:latin typeface="+mn-lt"/>
              <a:ea typeface="+mn-ea"/>
              <a:cs typeface="+mn-cs"/>
            </a:rPr>
            <a:t>30</a:t>
          </a:r>
        </a:p>
        <a:p>
          <a:pPr marL="0" indent="0" algn="ctr"/>
          <a:r>
            <a:rPr lang="en-IN" sz="1400" b="1">
              <a:solidFill>
                <a:schemeClr val="bg2"/>
              </a:solidFill>
              <a:latin typeface="Crimson Pro" pitchFamily="2" charset="0"/>
              <a:ea typeface="+mn-ea"/>
              <a:cs typeface="+mn-cs"/>
            </a:rPr>
            <a:t> JUNE</a:t>
          </a:r>
        </a:p>
        <a:p>
          <a:pPr marL="0" indent="0" algn="ctr"/>
          <a:r>
            <a:rPr lang="en-IN" sz="1400" b="1" baseline="0">
              <a:solidFill>
                <a:schemeClr val="bg2"/>
              </a:solidFill>
              <a:latin typeface="Crimson Pro" pitchFamily="2" charset="0"/>
              <a:ea typeface="+mn-ea"/>
              <a:cs typeface="+mn-cs"/>
            </a:rPr>
            <a:t>ORDER</a:t>
          </a:r>
          <a:endParaRPr lang="en-IN" sz="1400">
            <a:solidFill>
              <a:schemeClr val="bg2"/>
            </a:solidFill>
            <a:latin typeface="Crimson Pro" pitchFamily="2" charset="0"/>
            <a:ea typeface="+mn-ea"/>
            <a:cs typeface="+mn-cs"/>
          </a:endParaRPr>
        </a:p>
      </xdr:txBody>
    </xdr:sp>
    <xdr:clientData/>
  </xdr:twoCellAnchor>
  <xdr:twoCellAnchor>
    <xdr:from>
      <xdr:col>17</xdr:col>
      <xdr:colOff>441960</xdr:colOff>
      <xdr:row>23</xdr:row>
      <xdr:rowOff>60960</xdr:rowOff>
    </xdr:from>
    <xdr:to>
      <xdr:col>19</xdr:col>
      <xdr:colOff>320040</xdr:colOff>
      <xdr:row>27</xdr:row>
      <xdr:rowOff>91440</xdr:rowOff>
    </xdr:to>
    <xdr:sp macro="" textlink="">
      <xdr:nvSpPr>
        <xdr:cNvPr id="15" name="Rectangle 14">
          <a:extLst>
            <a:ext uri="{FF2B5EF4-FFF2-40B4-BE49-F238E27FC236}">
              <a16:creationId xmlns:a16="http://schemas.microsoft.com/office/drawing/2014/main" id="{45EDB3B2-94B4-48F4-AF56-D60F4B6D0917}"/>
            </a:ext>
          </a:extLst>
        </xdr:cNvPr>
        <xdr:cNvSpPr/>
      </xdr:nvSpPr>
      <xdr:spPr>
        <a:xfrm>
          <a:off x="11071860" y="4876800"/>
          <a:ext cx="1097280" cy="762000"/>
        </a:xfrm>
        <a:prstGeom prst="rect">
          <a:avLst/>
        </a:prstGeom>
        <a:ln>
          <a:solidFill>
            <a:srgbClr val="FFC000"/>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marL="0" indent="0" algn="ctr"/>
          <a:r>
            <a:rPr lang="en-IN" sz="1100">
              <a:solidFill>
                <a:schemeClr val="accent2"/>
              </a:solidFill>
              <a:latin typeface="+mn-lt"/>
              <a:ea typeface="+mn-ea"/>
              <a:cs typeface="+mn-cs"/>
            </a:rPr>
            <a:t> </a:t>
          </a:r>
          <a:r>
            <a:rPr lang="en-IN" sz="1600" b="1">
              <a:solidFill>
                <a:schemeClr val="accent2"/>
              </a:solidFill>
              <a:latin typeface="+mn-lt"/>
              <a:ea typeface="+mn-ea"/>
              <a:cs typeface="+mn-cs"/>
            </a:rPr>
            <a:t> 6,61472</a:t>
          </a:r>
        </a:p>
        <a:p>
          <a:pPr marL="0" indent="0" algn="ctr"/>
          <a:r>
            <a:rPr lang="en-IN" sz="1400" b="1">
              <a:solidFill>
                <a:schemeClr val="bg2"/>
              </a:solidFill>
              <a:latin typeface="Crimson Pro" pitchFamily="2" charset="0"/>
              <a:ea typeface="+mn-ea"/>
              <a:cs typeface="+mn-cs"/>
            </a:rPr>
            <a:t> TOTAL</a:t>
          </a:r>
        </a:p>
        <a:p>
          <a:pPr marL="0" indent="0" algn="ctr"/>
          <a:r>
            <a:rPr lang="en-IN" sz="1400" b="1" baseline="0">
              <a:solidFill>
                <a:schemeClr val="bg2"/>
              </a:solidFill>
              <a:latin typeface="Crimson Pro" pitchFamily="2" charset="0"/>
              <a:ea typeface="+mn-ea"/>
              <a:cs typeface="+mn-cs"/>
            </a:rPr>
            <a:t> REVENUE</a:t>
          </a:r>
          <a:endParaRPr lang="en-IN" sz="1400">
            <a:solidFill>
              <a:schemeClr val="bg2"/>
            </a:solidFill>
            <a:latin typeface="Crimson Pro" pitchFamily="2" charset="0"/>
            <a:ea typeface="+mn-ea"/>
            <a:cs typeface="+mn-cs"/>
          </a:endParaRPr>
        </a:p>
      </xdr:txBody>
    </xdr:sp>
    <xdr:clientData/>
  </xdr:twoCellAnchor>
  <xdr:twoCellAnchor>
    <xdr:from>
      <xdr:col>16</xdr:col>
      <xdr:colOff>152400</xdr:colOff>
      <xdr:row>0</xdr:row>
      <xdr:rowOff>342900</xdr:rowOff>
    </xdr:from>
    <xdr:to>
      <xdr:col>16</xdr:col>
      <xdr:colOff>266700</xdr:colOff>
      <xdr:row>0</xdr:row>
      <xdr:rowOff>754380</xdr:rowOff>
    </xdr:to>
    <xdr:sp macro="" textlink="">
      <xdr:nvSpPr>
        <xdr:cNvPr id="19" name="Rectangle: Rounded Corners 18">
          <a:extLst>
            <a:ext uri="{FF2B5EF4-FFF2-40B4-BE49-F238E27FC236}">
              <a16:creationId xmlns:a16="http://schemas.microsoft.com/office/drawing/2014/main" id="{E7FFC3CA-4D44-48BD-91F6-C76E5240C041}"/>
            </a:ext>
          </a:extLst>
        </xdr:cNvPr>
        <xdr:cNvSpPr/>
      </xdr:nvSpPr>
      <xdr:spPr>
        <a:xfrm>
          <a:off x="10172700" y="342900"/>
          <a:ext cx="114300" cy="4114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1</cdr:x>
      <cdr:y>0.00301</cdr:y>
    </cdr:to>
    <cdr:cxnSp macro="">
      <cdr:nvCxnSpPr>
        <cdr:cNvPr id="3" name="Straight Connector 2">
          <a:extLst xmlns:a="http://schemas.openxmlformats.org/drawingml/2006/main">
            <a:ext uri="{FF2B5EF4-FFF2-40B4-BE49-F238E27FC236}">
              <a16:creationId xmlns:a16="http://schemas.microsoft.com/office/drawing/2014/main" id="{D11185EC-1945-608B-6330-9B7C07A89B7E}"/>
            </a:ext>
          </a:extLst>
        </cdr:cNvPr>
        <cdr:cNvCxnSpPr/>
      </cdr:nvCxnSpPr>
      <cdr:spPr>
        <a:xfrm xmlns:a="http://schemas.openxmlformats.org/drawingml/2006/main" flipV="1">
          <a:off x="99060" y="0"/>
          <a:ext cx="6865620" cy="15240"/>
        </a:xfrm>
        <a:prstGeom xmlns:a="http://schemas.openxmlformats.org/drawingml/2006/main" prst="line">
          <a:avLst/>
        </a:prstGeom>
        <a:ln xmlns:a="http://schemas.openxmlformats.org/drawingml/2006/main">
          <a:solidFill>
            <a:srgbClr val="FFC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cdr:x>
      <cdr:y>0</cdr:y>
    </cdr:from>
    <cdr:to>
      <cdr:x>1</cdr:x>
      <cdr:y>0.00301</cdr:y>
    </cdr:to>
    <cdr:cxnSp macro="">
      <cdr:nvCxnSpPr>
        <cdr:cNvPr id="4" name="Straight Connector 2">
          <a:extLst xmlns:a="http://schemas.openxmlformats.org/drawingml/2006/main">
            <a:ext uri="{FF2B5EF4-FFF2-40B4-BE49-F238E27FC236}">
              <a16:creationId xmlns:a16="http://schemas.microsoft.com/office/drawing/2014/main" id="{D11185EC-1945-608B-6330-9B7C07A89B7E}"/>
            </a:ext>
          </a:extLst>
        </cdr:cNvPr>
        <cdr:cNvCxnSpPr/>
      </cdr:nvCxnSpPr>
      <cdr:spPr>
        <a:xfrm xmlns:a="http://schemas.openxmlformats.org/drawingml/2006/main" flipV="1">
          <a:off x="99060" y="0"/>
          <a:ext cx="6865620" cy="15240"/>
        </a:xfrm>
        <a:prstGeom xmlns:a="http://schemas.openxmlformats.org/drawingml/2006/main" prst="line">
          <a:avLst/>
        </a:prstGeom>
        <a:ln xmlns:a="http://schemas.openxmlformats.org/drawingml/2006/main">
          <a:solidFill>
            <a:srgbClr val="FFC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1</cdr:x>
      <cdr:y>0</cdr:y>
    </cdr:from>
    <cdr:to>
      <cdr:x>1</cdr:x>
      <cdr:y>1</cdr:y>
    </cdr:to>
    <cdr:cxnSp macro="">
      <cdr:nvCxnSpPr>
        <cdr:cNvPr id="5" name="Straight Connector 4">
          <a:extLst xmlns:a="http://schemas.openxmlformats.org/drawingml/2006/main">
            <a:ext uri="{FF2B5EF4-FFF2-40B4-BE49-F238E27FC236}">
              <a16:creationId xmlns:a16="http://schemas.microsoft.com/office/drawing/2014/main" id="{33579F88-F29F-762E-F651-CBAFD154E28A}"/>
            </a:ext>
          </a:extLst>
        </cdr:cNvPr>
        <cdr:cNvCxnSpPr/>
      </cdr:nvCxnSpPr>
      <cdr:spPr>
        <a:xfrm xmlns:a="http://schemas.openxmlformats.org/drawingml/2006/main">
          <a:off x="6560820" y="45720"/>
          <a:ext cx="0" cy="5250180"/>
        </a:xfrm>
        <a:prstGeom xmlns:a="http://schemas.openxmlformats.org/drawingml/2006/main" prst="line">
          <a:avLst/>
        </a:prstGeom>
        <a:ln xmlns:a="http://schemas.openxmlformats.org/drawingml/2006/main">
          <a:solidFill>
            <a:srgbClr val="FFC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0.0105</cdr:x>
      <cdr:y>0.99699</cdr:y>
    </cdr:from>
    <cdr:to>
      <cdr:x>1</cdr:x>
      <cdr:y>1</cdr:y>
    </cdr:to>
    <cdr:cxnSp macro="">
      <cdr:nvCxnSpPr>
        <cdr:cNvPr id="6" name="Straight Connector 5">
          <a:extLst xmlns:a="http://schemas.openxmlformats.org/drawingml/2006/main">
            <a:ext uri="{FF2B5EF4-FFF2-40B4-BE49-F238E27FC236}">
              <a16:creationId xmlns:a16="http://schemas.microsoft.com/office/drawing/2014/main" id="{23AD89FB-FBC2-8A8F-F30B-20573B649EFC}"/>
            </a:ext>
          </a:extLst>
        </cdr:cNvPr>
        <cdr:cNvCxnSpPr/>
      </cdr:nvCxnSpPr>
      <cdr:spPr>
        <a:xfrm xmlns:a="http://schemas.openxmlformats.org/drawingml/2006/main" flipV="1">
          <a:off x="91440" y="5082540"/>
          <a:ext cx="6461760" cy="15240"/>
        </a:xfrm>
        <a:prstGeom xmlns:a="http://schemas.openxmlformats.org/drawingml/2006/main" prst="line">
          <a:avLst/>
        </a:prstGeom>
        <a:ln xmlns:a="http://schemas.openxmlformats.org/drawingml/2006/main">
          <a:solidFill>
            <a:srgbClr val="FFC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0.99883</cdr:x>
      <cdr:y>0</cdr:y>
    </cdr:from>
    <cdr:to>
      <cdr:x>1</cdr:x>
      <cdr:y>1</cdr:y>
    </cdr:to>
    <cdr:cxnSp macro="">
      <cdr:nvCxnSpPr>
        <cdr:cNvPr id="7" name="Straight Connector 6">
          <a:extLst xmlns:a="http://schemas.openxmlformats.org/drawingml/2006/main">
            <a:ext uri="{FF2B5EF4-FFF2-40B4-BE49-F238E27FC236}">
              <a16:creationId xmlns:a16="http://schemas.microsoft.com/office/drawing/2014/main" id="{C7807E3F-125E-6164-F0B8-AA834D3D3BFB}"/>
            </a:ext>
          </a:extLst>
        </cdr:cNvPr>
        <cdr:cNvCxnSpPr/>
      </cdr:nvCxnSpPr>
      <cdr:spPr>
        <a:xfrm xmlns:a="http://schemas.openxmlformats.org/drawingml/2006/main" flipH="1">
          <a:off x="6537960" y="45720"/>
          <a:ext cx="7620" cy="5158740"/>
        </a:xfrm>
        <a:prstGeom xmlns:a="http://schemas.openxmlformats.org/drawingml/2006/main" prst="line">
          <a:avLst/>
        </a:prstGeom>
        <a:ln xmlns:a="http://schemas.openxmlformats.org/drawingml/2006/main">
          <a:solidFill>
            <a:srgbClr val="FFC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14</xdr:row>
      <xdr:rowOff>0</xdr:rowOff>
    </xdr:from>
    <xdr:to>
      <xdr:col>14</xdr:col>
      <xdr:colOff>426720</xdr:colOff>
      <xdr:row>30</xdr:row>
      <xdr:rowOff>30480</xdr:rowOff>
    </xdr:to>
    <xdr:graphicFrame macro="">
      <xdr:nvGraphicFramePr>
        <xdr:cNvPr id="2" name="Chart 1">
          <a:extLst>
            <a:ext uri="{FF2B5EF4-FFF2-40B4-BE49-F238E27FC236}">
              <a16:creationId xmlns:a16="http://schemas.microsoft.com/office/drawing/2014/main" id="{075A6CFC-6150-3428-F973-A7DC2F0DD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144780</xdr:colOff>
      <xdr:row>1</xdr:row>
      <xdr:rowOff>167640</xdr:rowOff>
    </xdr:from>
    <xdr:to>
      <xdr:col>9</xdr:col>
      <xdr:colOff>68580</xdr:colOff>
      <xdr:row>13</xdr:row>
      <xdr:rowOff>144780</xdr:rowOff>
    </xdr:to>
    <mc:AlternateContent xmlns:mc="http://schemas.openxmlformats.org/markup-compatibility/2006" xmlns:a14="http://schemas.microsoft.com/office/drawing/2010/main">
      <mc:Choice Requires="a14">
        <xdr:graphicFrame macro="">
          <xdr:nvGraphicFramePr>
            <xdr:cNvPr id="4" name=" CATEGORY">
              <a:extLst>
                <a:ext uri="{FF2B5EF4-FFF2-40B4-BE49-F238E27FC236}">
                  <a16:creationId xmlns:a16="http://schemas.microsoft.com/office/drawing/2014/main" id="{F4452787-375D-B7EF-6022-BABEEC0CFA11}"/>
                </a:ext>
              </a:extLst>
            </xdr:cNvPr>
            <xdr:cNvGraphicFramePr/>
          </xdr:nvGraphicFramePr>
          <xdr:xfrm>
            <a:off x="0" y="0"/>
            <a:ext cx="0" cy="0"/>
          </xdr:xfrm>
          <a:graphic>
            <a:graphicData uri="http://schemas.microsoft.com/office/drawing/2010/slicer">
              <sle:slicer xmlns:sle="http://schemas.microsoft.com/office/drawing/2010/slicer" name=" CATEGORY"/>
            </a:graphicData>
          </a:graphic>
        </xdr:graphicFrame>
      </mc:Choice>
      <mc:Fallback xmlns="">
        <xdr:sp macro="" textlink="">
          <xdr:nvSpPr>
            <xdr:cNvPr id="0" name=""/>
            <xdr:cNvSpPr>
              <a:spLocks noTextEdit="1"/>
            </xdr:cNvSpPr>
          </xdr:nvSpPr>
          <xdr:spPr>
            <a:xfrm>
              <a:off x="1927860" y="784860"/>
              <a:ext cx="41910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556260</xdr:colOff>
      <xdr:row>2</xdr:row>
      <xdr:rowOff>0</xdr:rowOff>
    </xdr:from>
    <xdr:to>
      <xdr:col>19</xdr:col>
      <xdr:colOff>358140</xdr:colOff>
      <xdr:row>4</xdr:row>
      <xdr:rowOff>167640</xdr:rowOff>
    </xdr:to>
    <xdr:sp macro="" textlink="">
      <xdr:nvSpPr>
        <xdr:cNvPr id="7" name="Rectangle: Rounded Corners 6">
          <a:extLst>
            <a:ext uri="{FF2B5EF4-FFF2-40B4-BE49-F238E27FC236}">
              <a16:creationId xmlns:a16="http://schemas.microsoft.com/office/drawing/2014/main" id="{3C6602D7-2FCD-3F35-7ED2-94CA9D978659}"/>
            </a:ext>
          </a:extLst>
        </xdr:cNvPr>
        <xdr:cNvSpPr/>
      </xdr:nvSpPr>
      <xdr:spPr>
        <a:xfrm>
          <a:off x="9654540" y="800100"/>
          <a:ext cx="2849880" cy="533400"/>
        </a:xfrm>
        <a:prstGeom prst="roundRect">
          <a:avLst/>
        </a:prstGeom>
        <a:ln>
          <a:solidFill>
            <a:srgbClr val="FFC000"/>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marL="0" indent="0" algn="l"/>
          <a:r>
            <a:rPr lang="en-IN" sz="2600" b="1">
              <a:solidFill>
                <a:schemeClr val="lt1"/>
              </a:solidFill>
              <a:latin typeface="Aptos" panose="020B0004020202020204" pitchFamily="34" charset="0"/>
              <a:ea typeface="+mn-ea"/>
              <a:cs typeface="+mn-cs"/>
            </a:rPr>
            <a:t>KEY INSIGHTS</a:t>
          </a:r>
        </a:p>
      </xdr:txBody>
    </xdr:sp>
    <xdr:clientData/>
  </xdr:twoCellAnchor>
  <xdr:twoCellAnchor>
    <xdr:from>
      <xdr:col>14</xdr:col>
      <xdr:colOff>548640</xdr:colOff>
      <xdr:row>5</xdr:row>
      <xdr:rowOff>60960</xdr:rowOff>
    </xdr:from>
    <xdr:to>
      <xdr:col>19</xdr:col>
      <xdr:colOff>487680</xdr:colOff>
      <xdr:row>17</xdr:row>
      <xdr:rowOff>30480</xdr:rowOff>
    </xdr:to>
    <xdr:sp macro="" textlink="">
      <xdr:nvSpPr>
        <xdr:cNvPr id="9" name="Rectangle: Rounded Corners 8">
          <a:extLst>
            <a:ext uri="{FF2B5EF4-FFF2-40B4-BE49-F238E27FC236}">
              <a16:creationId xmlns:a16="http://schemas.microsoft.com/office/drawing/2014/main" id="{720B487D-5283-75CE-C898-1D439FC0D6B4}"/>
            </a:ext>
          </a:extLst>
        </xdr:cNvPr>
        <xdr:cNvSpPr/>
      </xdr:nvSpPr>
      <xdr:spPr>
        <a:xfrm>
          <a:off x="9646920" y="1409700"/>
          <a:ext cx="2987040" cy="2164080"/>
        </a:xfrm>
        <a:prstGeom prst="roundRect">
          <a:avLst/>
        </a:prstGeom>
        <a:solidFill>
          <a:schemeClr val="tx1"/>
        </a:solidFill>
        <a:ln>
          <a:solidFill>
            <a:srgbClr val="FFC000"/>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2400" b="1">
            <a:solidFill>
              <a:schemeClr val="dk1"/>
            </a:solidFill>
            <a:latin typeface="+mn-lt"/>
            <a:ea typeface="+mn-ea"/>
            <a:cs typeface="+mn-cs"/>
          </a:endParaRPr>
        </a:p>
      </xdr:txBody>
    </xdr:sp>
    <xdr:clientData/>
  </xdr:twoCellAnchor>
  <xdr:twoCellAnchor>
    <xdr:from>
      <xdr:col>15</xdr:col>
      <xdr:colOff>99060</xdr:colOff>
      <xdr:row>6</xdr:row>
      <xdr:rowOff>106680</xdr:rowOff>
    </xdr:from>
    <xdr:to>
      <xdr:col>19</xdr:col>
      <xdr:colOff>220980</xdr:colOff>
      <xdr:row>16</xdr:row>
      <xdr:rowOff>30480</xdr:rowOff>
    </xdr:to>
    <xdr:sp macro="" textlink="">
      <xdr:nvSpPr>
        <xdr:cNvPr id="1027" name="Text Box 3">
          <a:extLst>
            <a:ext uri="{FF2B5EF4-FFF2-40B4-BE49-F238E27FC236}">
              <a16:creationId xmlns:a16="http://schemas.microsoft.com/office/drawing/2014/main" id="{F404382C-0F94-D663-8B4A-BBD13447FC56}"/>
            </a:ext>
          </a:extLst>
        </xdr:cNvPr>
        <xdr:cNvSpPr txBox="1">
          <a:spLocks noChangeArrowheads="1"/>
        </xdr:cNvSpPr>
      </xdr:nvSpPr>
      <xdr:spPr bwMode="auto">
        <a:xfrm flipH="1">
          <a:off x="9806940" y="1638300"/>
          <a:ext cx="2560320" cy="1752600"/>
        </a:xfrm>
        <a:prstGeom prst="rect">
          <a:avLst/>
        </a:prstGeom>
        <a:solidFill>
          <a:srgbClr val="080B10"/>
        </a:solidFill>
        <a:ln w="9525">
          <a:solidFill>
            <a:srgbClr val="000000"/>
          </a:solidFill>
          <a:miter lim="800000"/>
          <a:headEnd/>
          <a:tailEnd/>
        </a:ln>
      </xdr:spPr>
      <xdr:txBody>
        <a:bodyPr vertOverflow="clip" wrap="square" lIns="36576" tIns="32004" rIns="0" bIns="0" anchor="t" upright="1"/>
        <a:lstStyle/>
        <a:p>
          <a:pPr marL="171450" indent="-171450" algn="l" rtl="0">
            <a:buFont typeface="Wingdings" panose="05000000000000000000" pitchFamily="2" charset="2"/>
            <a:buChar char="Ø"/>
            <a:defRPr sz="1000"/>
          </a:pPr>
          <a:r>
            <a:rPr lang="en-IN" sz="1200" b="0" i="0" u="none" strike="noStrike" baseline="0">
              <a:solidFill>
                <a:schemeClr val="bg2"/>
              </a:solidFill>
              <a:latin typeface="Bebas Neue" panose="020B0606020202050201" pitchFamily="34" charset="0"/>
              <a:cs typeface="Times New Roman" panose="02020603050405020304" pitchFamily="18" charset="0"/>
            </a:rPr>
            <a:t>Chennai generated the highest revenue (₹102,777).</a:t>
          </a:r>
        </a:p>
        <a:p>
          <a:pPr marL="171450" indent="-171450" algn="l" rtl="0">
            <a:buFont typeface="Wingdings" panose="05000000000000000000" pitchFamily="2" charset="2"/>
            <a:buChar char="Ø"/>
            <a:defRPr sz="1000"/>
          </a:pPr>
          <a:r>
            <a:rPr lang="en-IN" sz="1200" b="0" i="0" u="none" strike="noStrike" baseline="0">
              <a:solidFill>
                <a:schemeClr val="bg2"/>
              </a:solidFill>
              <a:latin typeface="Bebas Neue" panose="020B0606020202050201" pitchFamily="34" charset="0"/>
              <a:cs typeface="Times New Roman" panose="02020603050405020304" pitchFamily="18" charset="0"/>
            </a:rPr>
            <a:t>Jaipur ranked second in sales revenue.</a:t>
          </a:r>
        </a:p>
        <a:p>
          <a:pPr marL="171450" indent="-171450" algn="l" rtl="0">
            <a:buFont typeface="Wingdings" panose="05000000000000000000" pitchFamily="2" charset="2"/>
            <a:buChar char="Ø"/>
            <a:defRPr sz="1000"/>
          </a:pPr>
          <a:r>
            <a:rPr lang="en-IN" sz="1200" b="0" i="0" u="none" strike="noStrike" baseline="0">
              <a:solidFill>
                <a:schemeClr val="bg2"/>
              </a:solidFill>
              <a:latin typeface="Bebas Neue" panose="020B0606020202050201" pitchFamily="34" charset="0"/>
              <a:cs typeface="Times New Roman" panose="02020603050405020304" pitchFamily="18" charset="0"/>
            </a:rPr>
            <a:t>Mysore recorded the lowest revenue (₹15,500).</a:t>
          </a:r>
        </a:p>
        <a:p>
          <a:pPr marL="171450" indent="-171450" algn="l" rtl="0">
            <a:buFont typeface="Wingdings" panose="05000000000000000000" pitchFamily="2" charset="2"/>
            <a:buChar char="Ø"/>
            <a:defRPr sz="1000"/>
          </a:pPr>
          <a:r>
            <a:rPr lang="en-IN" sz="1200" b="0" i="0" u="none" strike="noStrike" baseline="0">
              <a:solidFill>
                <a:schemeClr val="bg2"/>
              </a:solidFill>
              <a:latin typeface="Bebas Neue" panose="020B0606020202050201" pitchFamily="34" charset="0"/>
              <a:cs typeface="Times New Roman" panose="02020603050405020304" pitchFamily="18" charset="0"/>
            </a:rPr>
            <a:t>Revenue concentration is highest in Chennai, Jaipur, and Bangalore</a:t>
          </a:r>
          <a:r>
            <a:rPr lang="en-IN" sz="1600" b="0" i="0" u="none" strike="noStrike" baseline="0">
              <a:solidFill>
                <a:schemeClr val="bg2"/>
              </a:solidFill>
              <a:latin typeface="Bebas Neue" panose="020B0606020202050201" pitchFamily="34" charset="0"/>
              <a:cs typeface="Times New Roman" panose="02020603050405020304" pitchFamily="18" charset="0"/>
            </a:rPr>
            <a:t>.</a:t>
          </a:r>
        </a:p>
      </xdr:txBody>
    </xdr:sp>
    <xdr:clientData/>
  </xdr:twoCellAnchor>
  <xdr:twoCellAnchor editAs="oneCell">
    <xdr:from>
      <xdr:col>5</xdr:col>
      <xdr:colOff>396240</xdr:colOff>
      <xdr:row>0</xdr:row>
      <xdr:rowOff>175260</xdr:rowOff>
    </xdr:from>
    <xdr:to>
      <xdr:col>6</xdr:col>
      <xdr:colOff>220980</xdr:colOff>
      <xdr:row>0</xdr:row>
      <xdr:rowOff>609600</xdr:rowOff>
    </xdr:to>
    <xdr:pic>
      <xdr:nvPicPr>
        <xdr:cNvPr id="13" name="Graphic 12" descr="City with solid fill">
          <a:extLst>
            <a:ext uri="{FF2B5EF4-FFF2-40B4-BE49-F238E27FC236}">
              <a16:creationId xmlns:a16="http://schemas.microsoft.com/office/drawing/2014/main" id="{6009DD47-0253-DC23-8142-36EFD9BE1AC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008120" y="175260"/>
          <a:ext cx="434340" cy="434340"/>
        </a:xfrm>
        <a:prstGeom prst="rect">
          <a:avLst/>
        </a:prstGeom>
      </xdr:spPr>
    </xdr:pic>
    <xdr:clientData/>
  </xdr:twoCellAnchor>
  <xdr:twoCellAnchor>
    <xdr:from>
      <xdr:col>0</xdr:col>
      <xdr:colOff>60960</xdr:colOff>
      <xdr:row>1</xdr:row>
      <xdr:rowOff>175260</xdr:rowOff>
    </xdr:from>
    <xdr:to>
      <xdr:col>2</xdr:col>
      <xdr:colOff>45720</xdr:colOff>
      <xdr:row>2</xdr:row>
      <xdr:rowOff>7620</xdr:rowOff>
    </xdr:to>
    <xdr:cxnSp macro="">
      <xdr:nvCxnSpPr>
        <xdr:cNvPr id="8" name="Straight Connector 7">
          <a:extLst>
            <a:ext uri="{FF2B5EF4-FFF2-40B4-BE49-F238E27FC236}">
              <a16:creationId xmlns:a16="http://schemas.microsoft.com/office/drawing/2014/main" id="{5A652ACD-3177-E5CB-04D7-71FCF794E619}"/>
            </a:ext>
          </a:extLst>
        </xdr:cNvPr>
        <xdr:cNvCxnSpPr/>
      </xdr:nvCxnSpPr>
      <xdr:spPr>
        <a:xfrm flipV="1">
          <a:off x="60960" y="792480"/>
          <a:ext cx="1767840" cy="1524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137160</xdr:colOff>
      <xdr:row>0</xdr:row>
      <xdr:rowOff>60960</xdr:rowOff>
    </xdr:from>
    <xdr:to>
      <xdr:col>1</xdr:col>
      <xdr:colOff>487680</xdr:colOff>
      <xdr:row>0</xdr:row>
      <xdr:rowOff>579120</xdr:rowOff>
    </xdr:to>
    <xdr:sp macro="" textlink="">
      <xdr:nvSpPr>
        <xdr:cNvPr id="12" name="Rectangle: Rounded Corners 11">
          <a:extLst>
            <a:ext uri="{FF2B5EF4-FFF2-40B4-BE49-F238E27FC236}">
              <a16:creationId xmlns:a16="http://schemas.microsoft.com/office/drawing/2014/main" id="{940A37C4-ECA6-44AB-9B8C-7BF029D784DD}"/>
            </a:ext>
          </a:extLst>
        </xdr:cNvPr>
        <xdr:cNvSpPr/>
      </xdr:nvSpPr>
      <xdr:spPr>
        <a:xfrm>
          <a:off x="137160" y="60960"/>
          <a:ext cx="1188720" cy="518160"/>
        </a:xfrm>
        <a:prstGeom prst="roundRect">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chemeClr val="tx1"/>
              </a:solidFill>
              <a:latin typeface="Crimson Pro" pitchFamily="2" charset="0"/>
              <a:ea typeface="+mn-ea"/>
              <a:cs typeface="+mn-cs"/>
            </a:rPr>
            <a:t>PIVOT TABLES -02</a:t>
          </a:r>
        </a:p>
      </xdr:txBody>
    </xdr:sp>
    <xdr:clientData/>
  </xdr:twoCellAnchor>
  <xdr:twoCellAnchor>
    <xdr:from>
      <xdr:col>19</xdr:col>
      <xdr:colOff>320040</xdr:colOff>
      <xdr:row>0</xdr:row>
      <xdr:rowOff>0</xdr:rowOff>
    </xdr:from>
    <xdr:to>
      <xdr:col>19</xdr:col>
      <xdr:colOff>1432560</xdr:colOff>
      <xdr:row>0</xdr:row>
      <xdr:rowOff>571500</xdr:rowOff>
    </xdr:to>
    <xdr:sp macro="" textlink="">
      <xdr:nvSpPr>
        <xdr:cNvPr id="15" name="Oval 14">
          <a:extLst>
            <a:ext uri="{FF2B5EF4-FFF2-40B4-BE49-F238E27FC236}">
              <a16:creationId xmlns:a16="http://schemas.microsoft.com/office/drawing/2014/main" id="{B46DEDC5-BFDA-43B1-B707-A826D8F6FC6C}"/>
            </a:ext>
          </a:extLst>
        </xdr:cNvPr>
        <xdr:cNvSpPr/>
      </xdr:nvSpPr>
      <xdr:spPr>
        <a:xfrm>
          <a:off x="12466320" y="0"/>
          <a:ext cx="1112520" cy="571500"/>
        </a:xfrm>
        <a:prstGeom prst="ellipse">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Crimson Pro" pitchFamily="2" charset="0"/>
            </a:rPr>
            <a:t>SHEET</a:t>
          </a:r>
          <a:r>
            <a:rPr lang="en-IN" sz="1100" b="1" baseline="0">
              <a:solidFill>
                <a:schemeClr val="tx1"/>
              </a:solidFill>
              <a:latin typeface="Crimson Pro" pitchFamily="2" charset="0"/>
            </a:rPr>
            <a:t> </a:t>
          </a:r>
          <a:r>
            <a:rPr lang="en-IN" sz="1100" b="1">
              <a:solidFill>
                <a:schemeClr val="tx1"/>
              </a:solidFill>
              <a:latin typeface="Crimson Pro" pitchFamily="2" charset="0"/>
            </a:rPr>
            <a:t>02</a:t>
          </a:r>
        </a:p>
        <a:p>
          <a:pPr algn="l"/>
          <a:r>
            <a:rPr lang="en-IN" sz="1100" b="1">
              <a:solidFill>
                <a:schemeClr val="tx1"/>
              </a:solidFill>
              <a:latin typeface="Crimson Pro" pitchFamily="2" charset="0"/>
            </a:rPr>
            <a:t> </a:t>
          </a:r>
        </a:p>
      </xdr:txBody>
    </xdr:sp>
    <xdr:clientData/>
  </xdr:twoCellAnchor>
  <xdr:twoCellAnchor>
    <xdr:from>
      <xdr:col>5</xdr:col>
      <xdr:colOff>205740</xdr:colOff>
      <xdr:row>0</xdr:row>
      <xdr:rowOff>144780</xdr:rowOff>
    </xdr:from>
    <xdr:to>
      <xdr:col>5</xdr:col>
      <xdr:colOff>320040</xdr:colOff>
      <xdr:row>0</xdr:row>
      <xdr:rowOff>556260</xdr:rowOff>
    </xdr:to>
    <xdr:sp macro="" textlink="">
      <xdr:nvSpPr>
        <xdr:cNvPr id="16" name="Rectangle: Rounded Corners 15">
          <a:extLst>
            <a:ext uri="{FF2B5EF4-FFF2-40B4-BE49-F238E27FC236}">
              <a16:creationId xmlns:a16="http://schemas.microsoft.com/office/drawing/2014/main" id="{86B172B6-954F-4ADB-940C-55D851D09817}"/>
            </a:ext>
          </a:extLst>
        </xdr:cNvPr>
        <xdr:cNvSpPr/>
      </xdr:nvSpPr>
      <xdr:spPr>
        <a:xfrm>
          <a:off x="3817620" y="144780"/>
          <a:ext cx="114300" cy="411480"/>
        </a:xfrm>
        <a:prstGeom prst="roundRect">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38100</xdr:colOff>
      <xdr:row>0</xdr:row>
      <xdr:rowOff>160020</xdr:rowOff>
    </xdr:from>
    <xdr:to>
      <xdr:col>15</xdr:col>
      <xdr:colOff>152400</xdr:colOff>
      <xdr:row>0</xdr:row>
      <xdr:rowOff>571500</xdr:rowOff>
    </xdr:to>
    <xdr:sp macro="" textlink="">
      <xdr:nvSpPr>
        <xdr:cNvPr id="17" name="Rectangle: Rounded Corners 16">
          <a:extLst>
            <a:ext uri="{FF2B5EF4-FFF2-40B4-BE49-F238E27FC236}">
              <a16:creationId xmlns:a16="http://schemas.microsoft.com/office/drawing/2014/main" id="{8048D172-757D-4D9E-9567-1A284282E223}"/>
            </a:ext>
          </a:extLst>
        </xdr:cNvPr>
        <xdr:cNvSpPr/>
      </xdr:nvSpPr>
      <xdr:spPr>
        <a:xfrm>
          <a:off x="9745980" y="160020"/>
          <a:ext cx="114300" cy="4114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xdr:colOff>
      <xdr:row>2</xdr:row>
      <xdr:rowOff>7620</xdr:rowOff>
    </xdr:from>
    <xdr:to>
      <xdr:col>2</xdr:col>
      <xdr:colOff>45720</xdr:colOff>
      <xdr:row>13</xdr:row>
      <xdr:rowOff>152400</xdr:rowOff>
    </xdr:to>
    <xdr:cxnSp macro="">
      <xdr:nvCxnSpPr>
        <xdr:cNvPr id="19" name="Straight Connector 18">
          <a:extLst>
            <a:ext uri="{FF2B5EF4-FFF2-40B4-BE49-F238E27FC236}">
              <a16:creationId xmlns:a16="http://schemas.microsoft.com/office/drawing/2014/main" id="{9864CD2C-D2EE-17DB-4F3A-BDA8CA8C638B}"/>
            </a:ext>
          </a:extLst>
        </xdr:cNvPr>
        <xdr:cNvCxnSpPr/>
      </xdr:nvCxnSpPr>
      <xdr:spPr>
        <a:xfrm flipH="1">
          <a:off x="1813560" y="807720"/>
          <a:ext cx="15240" cy="215646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oneCellAnchor>
    <xdr:from>
      <xdr:col>5</xdr:col>
      <xdr:colOff>152400</xdr:colOff>
      <xdr:row>0</xdr:row>
      <xdr:rowOff>251460</xdr:rowOff>
    </xdr:from>
    <xdr:ext cx="548640" cy="411480"/>
    <xdr:pic>
      <xdr:nvPicPr>
        <xdr:cNvPr id="4" name="Graphic 3" descr="Woman with solid fill">
          <a:extLst>
            <a:ext uri="{FF2B5EF4-FFF2-40B4-BE49-F238E27FC236}">
              <a16:creationId xmlns:a16="http://schemas.microsoft.com/office/drawing/2014/main" id="{303DF574-45E8-6A4D-31B0-CC8C2C05FB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98620" y="251460"/>
          <a:ext cx="548640" cy="411480"/>
        </a:xfrm>
        <a:prstGeom prst="rect">
          <a:avLst/>
        </a:prstGeom>
      </xdr:spPr>
    </xdr:pic>
    <xdr:clientData/>
  </xdr:oneCellAnchor>
  <xdr:oneCellAnchor>
    <xdr:from>
      <xdr:col>5</xdr:col>
      <xdr:colOff>464820</xdr:colOff>
      <xdr:row>0</xdr:row>
      <xdr:rowOff>259080</xdr:rowOff>
    </xdr:from>
    <xdr:ext cx="472440" cy="411480"/>
    <xdr:pic>
      <xdr:nvPicPr>
        <xdr:cNvPr id="6" name="Graphic 5" descr="Man with solid fill">
          <a:extLst>
            <a:ext uri="{FF2B5EF4-FFF2-40B4-BE49-F238E27FC236}">
              <a16:creationId xmlns:a16="http://schemas.microsoft.com/office/drawing/2014/main" id="{96D63223-1CE2-48B0-86D2-D802ECE7058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11040" y="259080"/>
          <a:ext cx="472440" cy="411480"/>
        </a:xfrm>
        <a:prstGeom prst="rect">
          <a:avLst/>
        </a:prstGeom>
      </xdr:spPr>
    </xdr:pic>
    <xdr:clientData/>
  </xdr:oneCellAnchor>
  <xdr:twoCellAnchor>
    <xdr:from>
      <xdr:col>0</xdr:col>
      <xdr:colOff>15240</xdr:colOff>
      <xdr:row>6</xdr:row>
      <xdr:rowOff>38100</xdr:rowOff>
    </xdr:from>
    <xdr:to>
      <xdr:col>9</xdr:col>
      <xdr:colOff>167640</xdr:colOff>
      <xdr:row>30</xdr:row>
      <xdr:rowOff>45720</xdr:rowOff>
    </xdr:to>
    <xdr:graphicFrame macro="">
      <xdr:nvGraphicFramePr>
        <xdr:cNvPr id="2" name="Chart 1">
          <a:extLst>
            <a:ext uri="{FF2B5EF4-FFF2-40B4-BE49-F238E27FC236}">
              <a16:creationId xmlns:a16="http://schemas.microsoft.com/office/drawing/2014/main" id="{34F932F2-4B38-8007-9792-CD6438CC8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213360</xdr:colOff>
      <xdr:row>3</xdr:row>
      <xdr:rowOff>30480</xdr:rowOff>
    </xdr:from>
    <xdr:to>
      <xdr:col>18</xdr:col>
      <xdr:colOff>533400</xdr:colOff>
      <xdr:row>5</xdr:row>
      <xdr:rowOff>160020</xdr:rowOff>
    </xdr:to>
    <xdr:sp macro="" textlink="">
      <xdr:nvSpPr>
        <xdr:cNvPr id="3" name="Rectangle: Rounded Corners 2">
          <a:extLst>
            <a:ext uri="{FF2B5EF4-FFF2-40B4-BE49-F238E27FC236}">
              <a16:creationId xmlns:a16="http://schemas.microsoft.com/office/drawing/2014/main" id="{F89C3477-517A-490D-A1B1-8554C8990A46}"/>
            </a:ext>
          </a:extLst>
        </xdr:cNvPr>
        <xdr:cNvSpPr/>
      </xdr:nvSpPr>
      <xdr:spPr>
        <a:xfrm>
          <a:off x="10104120" y="1028700"/>
          <a:ext cx="2758440" cy="495300"/>
        </a:xfrm>
        <a:prstGeom prst="roundRect">
          <a:avLst/>
        </a:prstGeom>
        <a:solidFill>
          <a:schemeClr val="tx1"/>
        </a:solidFill>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2400" b="1">
              <a:solidFill>
                <a:schemeClr val="bg1"/>
              </a:solidFill>
              <a:latin typeface="Aptos" panose="020B0004020202020204" pitchFamily="34" charset="0"/>
            </a:rPr>
            <a:t>KEY</a:t>
          </a:r>
          <a:r>
            <a:rPr lang="en-IN" sz="2400" b="1" baseline="0">
              <a:solidFill>
                <a:schemeClr val="bg1"/>
              </a:solidFill>
              <a:latin typeface="Aptos" panose="020B0004020202020204" pitchFamily="34" charset="0"/>
            </a:rPr>
            <a:t> INSIGHTS</a:t>
          </a:r>
          <a:endParaRPr lang="en-IN" sz="2400" b="1">
            <a:solidFill>
              <a:schemeClr val="bg1"/>
            </a:solidFill>
            <a:latin typeface="Aptos" panose="020B0004020202020204" pitchFamily="34" charset="0"/>
          </a:endParaRPr>
        </a:p>
      </xdr:txBody>
    </xdr:sp>
    <xdr:clientData/>
  </xdr:twoCellAnchor>
  <xdr:twoCellAnchor>
    <xdr:from>
      <xdr:col>14</xdr:col>
      <xdr:colOff>251460</xdr:colOff>
      <xdr:row>6</xdr:row>
      <xdr:rowOff>83820</xdr:rowOff>
    </xdr:from>
    <xdr:to>
      <xdr:col>18</xdr:col>
      <xdr:colOff>518160</xdr:colOff>
      <xdr:row>20</xdr:row>
      <xdr:rowOff>114300</xdr:rowOff>
    </xdr:to>
    <xdr:sp macro="" textlink="">
      <xdr:nvSpPr>
        <xdr:cNvPr id="5" name="Rectangle: Rounded Corners 4">
          <a:extLst>
            <a:ext uri="{FF2B5EF4-FFF2-40B4-BE49-F238E27FC236}">
              <a16:creationId xmlns:a16="http://schemas.microsoft.com/office/drawing/2014/main" id="{91760D14-D52B-4261-80D1-FA6CC55E01DD}"/>
            </a:ext>
          </a:extLst>
        </xdr:cNvPr>
        <xdr:cNvSpPr/>
      </xdr:nvSpPr>
      <xdr:spPr>
        <a:xfrm>
          <a:off x="9784080" y="1630680"/>
          <a:ext cx="2705100" cy="2590800"/>
        </a:xfrm>
        <a:prstGeom prst="roundRect">
          <a:avLst/>
        </a:prstGeom>
        <a:ln>
          <a:solidFill>
            <a:srgbClr val="FFC000"/>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426720</xdr:colOff>
      <xdr:row>7</xdr:row>
      <xdr:rowOff>129540</xdr:rowOff>
    </xdr:from>
    <xdr:to>
      <xdr:col>18</xdr:col>
      <xdr:colOff>281940</xdr:colOff>
      <xdr:row>19</xdr:row>
      <xdr:rowOff>167640</xdr:rowOff>
    </xdr:to>
    <xdr:sp macro="" textlink="">
      <xdr:nvSpPr>
        <xdr:cNvPr id="7" name="Rectangle 6">
          <a:extLst>
            <a:ext uri="{FF2B5EF4-FFF2-40B4-BE49-F238E27FC236}">
              <a16:creationId xmlns:a16="http://schemas.microsoft.com/office/drawing/2014/main" id="{31DC93CD-757E-7DD6-9304-642963980E20}"/>
            </a:ext>
          </a:extLst>
        </xdr:cNvPr>
        <xdr:cNvSpPr/>
      </xdr:nvSpPr>
      <xdr:spPr>
        <a:xfrm>
          <a:off x="10317480" y="1859280"/>
          <a:ext cx="2293620" cy="2232660"/>
        </a:xfrm>
        <a:prstGeom prst="rect">
          <a:avLst/>
        </a:prstGeom>
        <a:solidFill>
          <a:schemeClr val="tx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171450" indent="-171450" algn="l">
            <a:buFont typeface="Wingdings" panose="05000000000000000000" pitchFamily="2" charset="2"/>
            <a:buChar char="Ø"/>
          </a:pPr>
          <a:r>
            <a:rPr lang="en-IN" sz="1200">
              <a:solidFill>
                <a:schemeClr val="bg1"/>
              </a:solidFill>
              <a:latin typeface="Bebas Neue" panose="020B0606020202050201" pitchFamily="34" charset="0"/>
              <a:cs typeface="Times New Roman" panose="02020603050405020304" pitchFamily="18" charset="0"/>
            </a:rPr>
            <a:t>Female customers contributed 63.1% of total revenue (₹4,17,098).</a:t>
          </a:r>
        </a:p>
        <a:p>
          <a:pPr marL="171450" indent="-171450" algn="l">
            <a:buFont typeface="Wingdings" panose="05000000000000000000" pitchFamily="2" charset="2"/>
            <a:buChar char="Ø"/>
          </a:pPr>
          <a:r>
            <a:rPr lang="en-IN" sz="1200">
              <a:solidFill>
                <a:schemeClr val="bg1"/>
              </a:solidFill>
              <a:latin typeface="Bebas Neue" panose="020B0606020202050201" pitchFamily="34" charset="0"/>
              <a:cs typeface="Times New Roman" panose="02020603050405020304" pitchFamily="18" charset="0"/>
            </a:rPr>
            <a:t>Male customers accounted for 36.9% of revenue (₹2,44,374).</a:t>
          </a:r>
        </a:p>
        <a:p>
          <a:pPr marL="171450" indent="-171450" algn="l">
            <a:buFont typeface="Wingdings" panose="05000000000000000000" pitchFamily="2" charset="2"/>
            <a:buChar char="Ø"/>
          </a:pPr>
          <a:r>
            <a:rPr lang="en-IN" sz="1200">
              <a:solidFill>
                <a:schemeClr val="bg1"/>
              </a:solidFill>
              <a:latin typeface="Bebas Neue" panose="020B0606020202050201" pitchFamily="34" charset="0"/>
              <a:cs typeface="Times New Roman" panose="02020603050405020304" pitchFamily="18" charset="0"/>
            </a:rPr>
            <a:t> Female revenue was ₹1,72,724 higher than male revenue.</a:t>
          </a:r>
        </a:p>
        <a:p>
          <a:pPr marL="171450" indent="-171450" algn="l">
            <a:buFont typeface="Wingdings" panose="05000000000000000000" pitchFamily="2" charset="2"/>
            <a:buChar char="Ø"/>
          </a:pPr>
          <a:r>
            <a:rPr lang="en-IN" sz="1200">
              <a:solidFill>
                <a:schemeClr val="bg1"/>
              </a:solidFill>
              <a:latin typeface="Bebas Neue" panose="020B0606020202050201" pitchFamily="34" charset="0"/>
              <a:cs typeface="Times New Roman" panose="02020603050405020304" pitchFamily="18" charset="0"/>
            </a:rPr>
            <a:t> Female customers represent the primary revenue-driving segment.</a:t>
          </a:r>
        </a:p>
        <a:p>
          <a:pPr marL="171450" indent="-171450" algn="l">
            <a:buFont typeface="Wingdings" panose="05000000000000000000" pitchFamily="2" charset="2"/>
            <a:buChar char="Ø"/>
          </a:pPr>
          <a:r>
            <a:rPr lang="en-IN" sz="1200">
              <a:solidFill>
                <a:schemeClr val="bg1"/>
              </a:solidFill>
              <a:latin typeface="Bebas Neue" panose="020B0606020202050201" pitchFamily="34" charset="0"/>
              <a:cs typeface="Times New Roman" panose="02020603050405020304" pitchFamily="18" charset="0"/>
            </a:rPr>
            <a:t> Focused promotions for female shoppers may increase overall sales</a:t>
          </a:r>
          <a:r>
            <a:rPr lang="en-IN" sz="1200">
              <a:latin typeface="Bebas Neue" panose="020B0606020202050201" pitchFamily="34" charset="0"/>
              <a:cs typeface="Times New Roman" panose="02020603050405020304" pitchFamily="18" charset="0"/>
            </a:rPr>
            <a:t>.</a:t>
          </a:r>
        </a:p>
      </xdr:txBody>
    </xdr:sp>
    <xdr:clientData/>
  </xdr:twoCellAnchor>
  <xdr:twoCellAnchor editAs="oneCell">
    <xdr:from>
      <xdr:col>9</xdr:col>
      <xdr:colOff>236220</xdr:colOff>
      <xdr:row>1</xdr:row>
      <xdr:rowOff>60960</xdr:rowOff>
    </xdr:from>
    <xdr:to>
      <xdr:col>13</xdr:col>
      <xdr:colOff>22860</xdr:colOff>
      <xdr:row>20</xdr:row>
      <xdr:rowOff>38100</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C7A20A9C-8328-47E5-770C-054999C8C4B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078980" y="739140"/>
              <a:ext cx="2225040" cy="3406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213360</xdr:colOff>
      <xdr:row>5</xdr:row>
      <xdr:rowOff>167640</xdr:rowOff>
    </xdr:from>
    <xdr:to>
      <xdr:col>9</xdr:col>
      <xdr:colOff>220980</xdr:colOff>
      <xdr:row>29</xdr:row>
      <xdr:rowOff>160020</xdr:rowOff>
    </xdr:to>
    <xdr:cxnSp macro="">
      <xdr:nvCxnSpPr>
        <xdr:cNvPr id="12" name="Straight Connector 11">
          <a:extLst>
            <a:ext uri="{FF2B5EF4-FFF2-40B4-BE49-F238E27FC236}">
              <a16:creationId xmlns:a16="http://schemas.microsoft.com/office/drawing/2014/main" id="{55297AF1-79BB-A90F-94E4-14C646099416}"/>
            </a:ext>
          </a:extLst>
        </xdr:cNvPr>
        <xdr:cNvCxnSpPr/>
      </xdr:nvCxnSpPr>
      <xdr:spPr>
        <a:xfrm>
          <a:off x="6697980" y="1303020"/>
          <a:ext cx="7620" cy="438150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137160</xdr:colOff>
      <xdr:row>30</xdr:row>
      <xdr:rowOff>0</xdr:rowOff>
    </xdr:from>
    <xdr:to>
      <xdr:col>9</xdr:col>
      <xdr:colOff>220980</xdr:colOff>
      <xdr:row>30</xdr:row>
      <xdr:rowOff>30480</xdr:rowOff>
    </xdr:to>
    <xdr:cxnSp macro="">
      <xdr:nvCxnSpPr>
        <xdr:cNvPr id="14" name="Straight Connector 13">
          <a:extLst>
            <a:ext uri="{FF2B5EF4-FFF2-40B4-BE49-F238E27FC236}">
              <a16:creationId xmlns:a16="http://schemas.microsoft.com/office/drawing/2014/main" id="{B355BA6E-9B0B-1F91-EE3C-547D5A2D728A}"/>
            </a:ext>
          </a:extLst>
        </xdr:cNvPr>
        <xdr:cNvCxnSpPr/>
      </xdr:nvCxnSpPr>
      <xdr:spPr>
        <a:xfrm flipV="1">
          <a:off x="137160" y="5707380"/>
          <a:ext cx="6568440" cy="3048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472440</xdr:colOff>
      <xdr:row>5</xdr:row>
      <xdr:rowOff>160020</xdr:rowOff>
    </xdr:from>
    <xdr:to>
      <xdr:col>9</xdr:col>
      <xdr:colOff>205740</xdr:colOff>
      <xdr:row>6</xdr:row>
      <xdr:rowOff>0</xdr:rowOff>
    </xdr:to>
    <xdr:cxnSp macro="">
      <xdr:nvCxnSpPr>
        <xdr:cNvPr id="17" name="Straight Connector 16">
          <a:extLst>
            <a:ext uri="{FF2B5EF4-FFF2-40B4-BE49-F238E27FC236}">
              <a16:creationId xmlns:a16="http://schemas.microsoft.com/office/drawing/2014/main" id="{715AA8AE-B98E-F4EF-663C-1D0EF9B3277D}"/>
            </a:ext>
          </a:extLst>
        </xdr:cNvPr>
        <xdr:cNvCxnSpPr/>
      </xdr:nvCxnSpPr>
      <xdr:spPr>
        <a:xfrm flipV="1">
          <a:off x="3909060" y="1295400"/>
          <a:ext cx="2781300" cy="2286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518160</xdr:colOff>
      <xdr:row>22</xdr:row>
      <xdr:rowOff>30480</xdr:rowOff>
    </xdr:from>
    <xdr:to>
      <xdr:col>18</xdr:col>
      <xdr:colOff>434340</xdr:colOff>
      <xdr:row>26</xdr:row>
      <xdr:rowOff>60960</xdr:rowOff>
    </xdr:to>
    <xdr:sp macro="" textlink="">
      <xdr:nvSpPr>
        <xdr:cNvPr id="18" name="Rectangle 17">
          <a:extLst>
            <a:ext uri="{FF2B5EF4-FFF2-40B4-BE49-F238E27FC236}">
              <a16:creationId xmlns:a16="http://schemas.microsoft.com/office/drawing/2014/main" id="{6CFD38F4-F4F7-4398-BA1E-13251F01100B}"/>
            </a:ext>
          </a:extLst>
        </xdr:cNvPr>
        <xdr:cNvSpPr/>
      </xdr:nvSpPr>
      <xdr:spPr>
        <a:xfrm>
          <a:off x="11628120" y="4503420"/>
          <a:ext cx="1135380" cy="762000"/>
        </a:xfrm>
        <a:prstGeom prst="rect">
          <a:avLst/>
        </a:prstGeom>
        <a:ln>
          <a:solidFill>
            <a:srgbClr val="FFC000"/>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marL="0" indent="0" algn="ctr"/>
          <a:r>
            <a:rPr lang="en-IN" sz="1100" b="1">
              <a:solidFill>
                <a:schemeClr val="accent2"/>
              </a:solidFill>
              <a:latin typeface="Crimson Pro" pitchFamily="2" charset="0"/>
              <a:ea typeface="+mn-ea"/>
              <a:cs typeface="+mn-cs"/>
            </a:rPr>
            <a:t> </a:t>
          </a:r>
          <a:r>
            <a:rPr lang="en-IN" sz="1600" b="1">
              <a:solidFill>
                <a:schemeClr val="accent2"/>
              </a:solidFill>
              <a:latin typeface="Crimson Pro" pitchFamily="2" charset="0"/>
              <a:ea typeface="+mn-ea"/>
              <a:cs typeface="+mn-cs"/>
            </a:rPr>
            <a:t>63.06% </a:t>
          </a:r>
        </a:p>
        <a:p>
          <a:pPr marL="0" indent="0" algn="ctr"/>
          <a:r>
            <a:rPr lang="en-IN" sz="1400" b="1">
              <a:solidFill>
                <a:schemeClr val="bg2"/>
              </a:solidFill>
              <a:latin typeface="Crimson Pro" pitchFamily="2" charset="0"/>
              <a:ea typeface="+mn-ea"/>
              <a:cs typeface="+mn-cs"/>
            </a:rPr>
            <a:t>Female</a:t>
          </a:r>
        </a:p>
        <a:p>
          <a:pPr marL="0" indent="0" algn="ctr"/>
          <a:r>
            <a:rPr lang="en-IN" sz="1400" b="1" baseline="0">
              <a:solidFill>
                <a:schemeClr val="bg2"/>
              </a:solidFill>
              <a:latin typeface="Crimson Pro" pitchFamily="2" charset="0"/>
              <a:ea typeface="+mn-ea"/>
              <a:cs typeface="+mn-cs"/>
            </a:rPr>
            <a:t>customers</a:t>
          </a:r>
          <a:endParaRPr lang="en-IN" sz="1400">
            <a:solidFill>
              <a:schemeClr val="bg2"/>
            </a:solidFill>
            <a:latin typeface="Crimson Pro" pitchFamily="2" charset="0"/>
            <a:ea typeface="+mn-ea"/>
            <a:cs typeface="+mn-cs"/>
          </a:endParaRPr>
        </a:p>
      </xdr:txBody>
    </xdr:sp>
    <xdr:clientData/>
  </xdr:twoCellAnchor>
  <xdr:twoCellAnchor>
    <xdr:from>
      <xdr:col>14</xdr:col>
      <xdr:colOff>358140</xdr:colOff>
      <xdr:row>22</xdr:row>
      <xdr:rowOff>53340</xdr:rowOff>
    </xdr:from>
    <xdr:to>
      <xdr:col>16</xdr:col>
      <xdr:colOff>274320</xdr:colOff>
      <xdr:row>26</xdr:row>
      <xdr:rowOff>83820</xdr:rowOff>
    </xdr:to>
    <xdr:sp macro="" textlink="">
      <xdr:nvSpPr>
        <xdr:cNvPr id="19" name="Rectangle 18">
          <a:extLst>
            <a:ext uri="{FF2B5EF4-FFF2-40B4-BE49-F238E27FC236}">
              <a16:creationId xmlns:a16="http://schemas.microsoft.com/office/drawing/2014/main" id="{190F05A1-1C37-4F5C-9890-00A5144BA946}"/>
            </a:ext>
          </a:extLst>
        </xdr:cNvPr>
        <xdr:cNvSpPr/>
      </xdr:nvSpPr>
      <xdr:spPr>
        <a:xfrm>
          <a:off x="10248900" y="4526280"/>
          <a:ext cx="1135380" cy="762000"/>
        </a:xfrm>
        <a:prstGeom prst="rect">
          <a:avLst/>
        </a:prstGeom>
        <a:ln>
          <a:solidFill>
            <a:srgbClr val="FFC000"/>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marL="0" indent="0" algn="ctr"/>
          <a:r>
            <a:rPr lang="en-IN" sz="1600" b="1">
              <a:solidFill>
                <a:schemeClr val="accent2"/>
              </a:solidFill>
              <a:latin typeface="Crimson Pro" pitchFamily="2" charset="0"/>
              <a:ea typeface="+mn-ea"/>
              <a:cs typeface="+mn-cs"/>
            </a:rPr>
            <a:t> 36.94% </a:t>
          </a:r>
        </a:p>
        <a:p>
          <a:pPr marL="0" indent="0" algn="ctr"/>
          <a:r>
            <a:rPr lang="en-IN" sz="1400" b="1">
              <a:solidFill>
                <a:schemeClr val="bg2"/>
              </a:solidFill>
              <a:latin typeface="Crimson Pro" pitchFamily="2" charset="0"/>
              <a:ea typeface="+mn-ea"/>
              <a:cs typeface="+mn-cs"/>
            </a:rPr>
            <a:t> Male</a:t>
          </a:r>
        </a:p>
        <a:p>
          <a:pPr marL="0" indent="0" algn="ctr"/>
          <a:r>
            <a:rPr lang="en-IN" sz="1400" b="1" baseline="0">
              <a:solidFill>
                <a:schemeClr val="bg2"/>
              </a:solidFill>
              <a:latin typeface="Crimson Pro" pitchFamily="2" charset="0"/>
              <a:ea typeface="+mn-ea"/>
              <a:cs typeface="+mn-cs"/>
            </a:rPr>
            <a:t> Customers</a:t>
          </a:r>
          <a:endParaRPr lang="en-IN" sz="1400">
            <a:solidFill>
              <a:schemeClr val="bg2"/>
            </a:solidFill>
            <a:latin typeface="Crimson Pro" pitchFamily="2" charset="0"/>
            <a:ea typeface="+mn-ea"/>
            <a:cs typeface="+mn-cs"/>
          </a:endParaRPr>
        </a:p>
      </xdr:txBody>
    </xdr:sp>
    <xdr:clientData/>
  </xdr:twoCellAnchor>
  <xdr:twoCellAnchor>
    <xdr:from>
      <xdr:col>0</xdr:col>
      <xdr:colOff>175260</xdr:colOff>
      <xdr:row>0</xdr:row>
      <xdr:rowOff>91440</xdr:rowOff>
    </xdr:from>
    <xdr:to>
      <xdr:col>1</xdr:col>
      <xdr:colOff>60960</xdr:colOff>
      <xdr:row>0</xdr:row>
      <xdr:rowOff>609600</xdr:rowOff>
    </xdr:to>
    <xdr:sp macro="" textlink="">
      <xdr:nvSpPr>
        <xdr:cNvPr id="22" name="Rectangle: Rounded Corners 21">
          <a:extLst>
            <a:ext uri="{FF2B5EF4-FFF2-40B4-BE49-F238E27FC236}">
              <a16:creationId xmlns:a16="http://schemas.microsoft.com/office/drawing/2014/main" id="{B917BED6-1F8C-4316-AEC2-9D3D489E3AE8}"/>
            </a:ext>
          </a:extLst>
        </xdr:cNvPr>
        <xdr:cNvSpPr/>
      </xdr:nvSpPr>
      <xdr:spPr>
        <a:xfrm>
          <a:off x="175260" y="91440"/>
          <a:ext cx="1135380" cy="518160"/>
        </a:xfrm>
        <a:prstGeom prst="roundRect">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chemeClr val="tx1"/>
              </a:solidFill>
              <a:latin typeface="Crimson Pro" pitchFamily="2" charset="0"/>
              <a:ea typeface="+mn-ea"/>
              <a:cs typeface="+mn-cs"/>
            </a:rPr>
            <a:t>PIVOT TABLES -03</a:t>
          </a:r>
        </a:p>
      </xdr:txBody>
    </xdr:sp>
    <xdr:clientData/>
  </xdr:twoCellAnchor>
  <xdr:twoCellAnchor>
    <xdr:from>
      <xdr:col>5</xdr:col>
      <xdr:colOff>144780</xdr:colOff>
      <xdr:row>0</xdr:row>
      <xdr:rowOff>243840</xdr:rowOff>
    </xdr:from>
    <xdr:to>
      <xdr:col>5</xdr:col>
      <xdr:colOff>274320</xdr:colOff>
      <xdr:row>0</xdr:row>
      <xdr:rowOff>655320</xdr:rowOff>
    </xdr:to>
    <xdr:sp macro="" textlink="">
      <xdr:nvSpPr>
        <xdr:cNvPr id="23" name="Rectangle: Rounded Corners 22">
          <a:extLst>
            <a:ext uri="{FF2B5EF4-FFF2-40B4-BE49-F238E27FC236}">
              <a16:creationId xmlns:a16="http://schemas.microsoft.com/office/drawing/2014/main" id="{79F57C20-207D-4B7C-BC26-099F1F2BEB68}"/>
            </a:ext>
          </a:extLst>
        </xdr:cNvPr>
        <xdr:cNvSpPr/>
      </xdr:nvSpPr>
      <xdr:spPr>
        <a:xfrm>
          <a:off x="4191000" y="243840"/>
          <a:ext cx="129540" cy="411480"/>
        </a:xfrm>
        <a:prstGeom prst="roundRect">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586740</xdr:colOff>
      <xdr:row>0</xdr:row>
      <xdr:rowOff>15240</xdr:rowOff>
    </xdr:from>
    <xdr:to>
      <xdr:col>19</xdr:col>
      <xdr:colOff>1089660</xdr:colOff>
      <xdr:row>0</xdr:row>
      <xdr:rowOff>624840</xdr:rowOff>
    </xdr:to>
    <xdr:sp macro="" textlink="">
      <xdr:nvSpPr>
        <xdr:cNvPr id="26" name="Oval 25">
          <a:extLst>
            <a:ext uri="{FF2B5EF4-FFF2-40B4-BE49-F238E27FC236}">
              <a16:creationId xmlns:a16="http://schemas.microsoft.com/office/drawing/2014/main" id="{0370B17E-80F7-4927-AD32-4526623DF918}"/>
            </a:ext>
          </a:extLst>
        </xdr:cNvPr>
        <xdr:cNvSpPr/>
      </xdr:nvSpPr>
      <xdr:spPr>
        <a:xfrm>
          <a:off x="12557760" y="15240"/>
          <a:ext cx="1112520" cy="609600"/>
        </a:xfrm>
        <a:prstGeom prst="ellipse">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Crimson Pro" pitchFamily="2" charset="0"/>
            </a:rPr>
            <a:t>SHEET</a:t>
          </a:r>
          <a:r>
            <a:rPr lang="en-IN" sz="1100" b="1" baseline="0">
              <a:solidFill>
                <a:schemeClr val="tx1"/>
              </a:solidFill>
              <a:latin typeface="Crimson Pro" pitchFamily="2" charset="0"/>
            </a:rPr>
            <a:t> </a:t>
          </a:r>
          <a:r>
            <a:rPr lang="en-IN" sz="1100" b="1">
              <a:solidFill>
                <a:schemeClr val="tx1"/>
              </a:solidFill>
              <a:latin typeface="Crimson Pro" pitchFamily="2" charset="0"/>
            </a:rPr>
            <a:t>03</a:t>
          </a:r>
        </a:p>
        <a:p>
          <a:pPr algn="l"/>
          <a:r>
            <a:rPr lang="en-IN" sz="1100" b="1">
              <a:solidFill>
                <a:schemeClr val="tx1"/>
              </a:solidFill>
              <a:latin typeface="Crimson Pro" pitchFamily="2" charset="0"/>
            </a:rPr>
            <a:t> </a:t>
          </a:r>
        </a:p>
      </xdr:txBody>
    </xdr:sp>
    <xdr:clientData/>
  </xdr:twoCellAnchor>
  <xdr:twoCellAnchor>
    <xdr:from>
      <xdr:col>14</xdr:col>
      <xdr:colOff>472440</xdr:colOff>
      <xdr:row>0</xdr:row>
      <xdr:rowOff>213360</xdr:rowOff>
    </xdr:from>
    <xdr:to>
      <xdr:col>14</xdr:col>
      <xdr:colOff>586740</xdr:colOff>
      <xdr:row>0</xdr:row>
      <xdr:rowOff>624840</xdr:rowOff>
    </xdr:to>
    <xdr:sp macro="" textlink="">
      <xdr:nvSpPr>
        <xdr:cNvPr id="27" name="Rectangle: Rounded Corners 26">
          <a:extLst>
            <a:ext uri="{FF2B5EF4-FFF2-40B4-BE49-F238E27FC236}">
              <a16:creationId xmlns:a16="http://schemas.microsoft.com/office/drawing/2014/main" id="{48C5AB54-C591-4D31-AC19-654E50E36E51}"/>
            </a:ext>
          </a:extLst>
        </xdr:cNvPr>
        <xdr:cNvSpPr/>
      </xdr:nvSpPr>
      <xdr:spPr>
        <a:xfrm>
          <a:off x="10005060" y="213360"/>
          <a:ext cx="114300" cy="4114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213360</xdr:colOff>
      <xdr:row>20</xdr:row>
      <xdr:rowOff>68581</xdr:rowOff>
    </xdr:from>
    <xdr:to>
      <xdr:col>12</xdr:col>
      <xdr:colOff>541020</xdr:colOff>
      <xdr:row>27</xdr:row>
      <xdr:rowOff>60961</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223E765E-1742-2F57-4688-8AF1934A1D9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056120" y="4175761"/>
              <a:ext cx="215646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60960</xdr:colOff>
      <xdr:row>8</xdr:row>
      <xdr:rowOff>76200</xdr:rowOff>
    </xdr:from>
    <xdr:to>
      <xdr:col>13</xdr:col>
      <xdr:colOff>594360</xdr:colOff>
      <xdr:row>29</xdr:row>
      <xdr:rowOff>160020</xdr:rowOff>
    </xdr:to>
    <xdr:graphicFrame macro="">
      <xdr:nvGraphicFramePr>
        <xdr:cNvPr id="2" name="Chart 1">
          <a:extLst>
            <a:ext uri="{FF2B5EF4-FFF2-40B4-BE49-F238E27FC236}">
              <a16:creationId xmlns:a16="http://schemas.microsoft.com/office/drawing/2014/main" id="{354A93A5-7FA7-ECEF-5706-3831721CF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335280</xdr:colOff>
      <xdr:row>0</xdr:row>
      <xdr:rowOff>152400</xdr:rowOff>
    </xdr:from>
    <xdr:to>
      <xdr:col>7</xdr:col>
      <xdr:colOff>144780</xdr:colOff>
      <xdr:row>0</xdr:row>
      <xdr:rowOff>525780</xdr:rowOff>
    </xdr:to>
    <xdr:pic>
      <xdr:nvPicPr>
        <xdr:cNvPr id="6" name="Graphic 5" descr="Shirt with solid fill">
          <a:extLst>
            <a:ext uri="{FF2B5EF4-FFF2-40B4-BE49-F238E27FC236}">
              <a16:creationId xmlns:a16="http://schemas.microsoft.com/office/drawing/2014/main" id="{31BC17B4-F16C-B76E-5E2C-C281572216D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14900" y="152400"/>
          <a:ext cx="419100" cy="373380"/>
        </a:xfrm>
        <a:prstGeom prst="rect">
          <a:avLst/>
        </a:prstGeom>
      </xdr:spPr>
    </xdr:pic>
    <xdr:clientData/>
  </xdr:twoCellAnchor>
  <xdr:twoCellAnchor editAs="oneCell">
    <xdr:from>
      <xdr:col>5</xdr:col>
      <xdr:colOff>563880</xdr:colOff>
      <xdr:row>0</xdr:row>
      <xdr:rowOff>160020</xdr:rowOff>
    </xdr:from>
    <xdr:to>
      <xdr:col>6</xdr:col>
      <xdr:colOff>441960</xdr:colOff>
      <xdr:row>0</xdr:row>
      <xdr:rowOff>510540</xdr:rowOff>
    </xdr:to>
    <xdr:pic>
      <xdr:nvPicPr>
        <xdr:cNvPr id="8" name="Graphic 7" descr="Dress with solid fill">
          <a:extLst>
            <a:ext uri="{FF2B5EF4-FFF2-40B4-BE49-F238E27FC236}">
              <a16:creationId xmlns:a16="http://schemas.microsoft.com/office/drawing/2014/main" id="{84CFB2F8-A35C-0105-69B4-30C60915635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33900" y="160020"/>
          <a:ext cx="487680" cy="350520"/>
        </a:xfrm>
        <a:prstGeom prst="rect">
          <a:avLst/>
        </a:prstGeom>
      </xdr:spPr>
    </xdr:pic>
    <xdr:clientData/>
  </xdr:twoCellAnchor>
  <xdr:twoCellAnchor editAs="oneCell">
    <xdr:from>
      <xdr:col>9</xdr:col>
      <xdr:colOff>274320</xdr:colOff>
      <xdr:row>0</xdr:row>
      <xdr:rowOff>548640</xdr:rowOff>
    </xdr:from>
    <xdr:to>
      <xdr:col>13</xdr:col>
      <xdr:colOff>556260</xdr:colOff>
      <xdr:row>8</xdr:row>
      <xdr:rowOff>38099</xdr:rowOff>
    </xdr:to>
    <mc:AlternateContent xmlns:mc="http://schemas.openxmlformats.org/markup-compatibility/2006" xmlns:a14="http://schemas.microsoft.com/office/drawing/2010/main">
      <mc:Choice Requires="a14">
        <xdr:graphicFrame macro="">
          <xdr:nvGraphicFramePr>
            <xdr:cNvPr id="10" name=" MONTH">
              <a:extLst>
                <a:ext uri="{FF2B5EF4-FFF2-40B4-BE49-F238E27FC236}">
                  <a16:creationId xmlns:a16="http://schemas.microsoft.com/office/drawing/2014/main" id="{A605D682-FD1E-5BAD-CC7A-D095D284D461}"/>
                </a:ext>
              </a:extLst>
            </xdr:cNvPr>
            <xdr:cNvGraphicFramePr/>
          </xdr:nvGraphicFramePr>
          <xdr:xfrm>
            <a:off x="0" y="0"/>
            <a:ext cx="0" cy="0"/>
          </xdr:xfrm>
          <a:graphic>
            <a:graphicData uri="http://schemas.microsoft.com/office/drawing/2010/slicer">
              <sle:slicer xmlns:sle="http://schemas.microsoft.com/office/drawing/2010/slicer" name=" MONTH"/>
            </a:graphicData>
          </a:graphic>
        </xdr:graphicFrame>
      </mc:Choice>
      <mc:Fallback xmlns="">
        <xdr:sp macro="" textlink="">
          <xdr:nvSpPr>
            <xdr:cNvPr id="0" name=""/>
            <xdr:cNvSpPr>
              <a:spLocks noTextEdit="1"/>
            </xdr:cNvSpPr>
          </xdr:nvSpPr>
          <xdr:spPr>
            <a:xfrm>
              <a:off x="6461760" y="548640"/>
              <a:ext cx="272034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114300</xdr:colOff>
      <xdr:row>1</xdr:row>
      <xdr:rowOff>91440</xdr:rowOff>
    </xdr:from>
    <xdr:to>
      <xdr:col>19</xdr:col>
      <xdr:colOff>1577340</xdr:colOff>
      <xdr:row>4</xdr:row>
      <xdr:rowOff>76200</xdr:rowOff>
    </xdr:to>
    <xdr:sp macro="" textlink="">
      <xdr:nvSpPr>
        <xdr:cNvPr id="11" name="Rectangle: Rounded Corners 10">
          <a:extLst>
            <a:ext uri="{FF2B5EF4-FFF2-40B4-BE49-F238E27FC236}">
              <a16:creationId xmlns:a16="http://schemas.microsoft.com/office/drawing/2014/main" id="{018FC5A7-95D5-4CF6-BBF0-FC84BB4495B5}"/>
            </a:ext>
          </a:extLst>
        </xdr:cNvPr>
        <xdr:cNvSpPr/>
      </xdr:nvSpPr>
      <xdr:spPr>
        <a:xfrm>
          <a:off x="11178540" y="685800"/>
          <a:ext cx="2682240" cy="533400"/>
        </a:xfrm>
        <a:prstGeom prst="roundRect">
          <a:avLst/>
        </a:prstGeom>
        <a:solidFill>
          <a:schemeClr val="tx1"/>
        </a:solidFill>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r>
            <a:rPr lang="en-IN" sz="2400" b="1">
              <a:solidFill>
                <a:schemeClr val="bg1"/>
              </a:solidFill>
              <a:latin typeface="Aptos" panose="020B0004020202020204" pitchFamily="34" charset="0"/>
              <a:ea typeface="+mn-ea"/>
              <a:cs typeface="+mn-cs"/>
            </a:rPr>
            <a:t>KEY INSIGHTS</a:t>
          </a:r>
        </a:p>
      </xdr:txBody>
    </xdr:sp>
    <xdr:clientData/>
  </xdr:twoCellAnchor>
  <xdr:twoCellAnchor>
    <xdr:from>
      <xdr:col>17</xdr:col>
      <xdr:colOff>45720</xdr:colOff>
      <xdr:row>4</xdr:row>
      <xdr:rowOff>152400</xdr:rowOff>
    </xdr:from>
    <xdr:to>
      <xdr:col>19</xdr:col>
      <xdr:colOff>1668780</xdr:colOff>
      <xdr:row>20</xdr:row>
      <xdr:rowOff>83820</xdr:rowOff>
    </xdr:to>
    <xdr:sp macro="" textlink="">
      <xdr:nvSpPr>
        <xdr:cNvPr id="12" name="Rectangle: Rounded Corners 11">
          <a:extLst>
            <a:ext uri="{FF2B5EF4-FFF2-40B4-BE49-F238E27FC236}">
              <a16:creationId xmlns:a16="http://schemas.microsoft.com/office/drawing/2014/main" id="{5F5F2B63-4BD4-402F-9CED-8CEB42EB442A}"/>
            </a:ext>
          </a:extLst>
        </xdr:cNvPr>
        <xdr:cNvSpPr/>
      </xdr:nvSpPr>
      <xdr:spPr>
        <a:xfrm>
          <a:off x="11109960" y="1295400"/>
          <a:ext cx="2842260" cy="2857500"/>
        </a:xfrm>
        <a:prstGeom prst="roundRect">
          <a:avLst/>
        </a:prstGeom>
        <a:ln>
          <a:solidFill>
            <a:srgbClr val="FFC000"/>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236220</xdr:colOff>
      <xdr:row>5</xdr:row>
      <xdr:rowOff>152400</xdr:rowOff>
    </xdr:from>
    <xdr:to>
      <xdr:col>19</xdr:col>
      <xdr:colOff>1493520</xdr:colOff>
      <xdr:row>19</xdr:row>
      <xdr:rowOff>83820</xdr:rowOff>
    </xdr:to>
    <xdr:sp macro="" textlink="">
      <xdr:nvSpPr>
        <xdr:cNvPr id="13" name="Rectangle 12">
          <a:extLst>
            <a:ext uri="{FF2B5EF4-FFF2-40B4-BE49-F238E27FC236}">
              <a16:creationId xmlns:a16="http://schemas.microsoft.com/office/drawing/2014/main" id="{0FF10DAA-34B6-777A-BAAB-87ACCDC53AD1}"/>
            </a:ext>
          </a:extLst>
        </xdr:cNvPr>
        <xdr:cNvSpPr/>
      </xdr:nvSpPr>
      <xdr:spPr>
        <a:xfrm>
          <a:off x="11300460" y="1478280"/>
          <a:ext cx="2476500" cy="2491740"/>
        </a:xfrm>
        <a:prstGeom prst="rect">
          <a:avLst/>
        </a:prstGeom>
        <a:solidFill>
          <a:schemeClr val="tx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171450" indent="-171450" algn="l">
            <a:buFont typeface="Wingdings" panose="05000000000000000000" pitchFamily="2" charset="2"/>
            <a:buChar char="Ø"/>
          </a:pPr>
          <a:r>
            <a:rPr lang="en-IN">
              <a:solidFill>
                <a:schemeClr val="bg1"/>
              </a:solidFill>
              <a:latin typeface="Bebas Neue" panose="020B0606020202050201" pitchFamily="34" charset="0"/>
              <a:cs typeface="Times New Roman" panose="02020603050405020304" pitchFamily="18" charset="0"/>
            </a:rPr>
            <a:t> Saree generated the highest revenue (₹1,79,940) — driven by premium pricing at ₹2,999</a:t>
          </a:r>
        </a:p>
        <a:p>
          <a:pPr marL="171450" indent="-171450" algn="l">
            <a:buFont typeface="Wingdings" panose="05000000000000000000" pitchFamily="2" charset="2"/>
            <a:buChar char="Ø"/>
          </a:pPr>
          <a:r>
            <a:rPr lang="en-IN">
              <a:solidFill>
                <a:schemeClr val="bg1"/>
              </a:solidFill>
              <a:latin typeface="Bebas Neue" panose="020B0606020202050201" pitchFamily="34" charset="0"/>
              <a:cs typeface="Times New Roman" panose="02020603050405020304" pitchFamily="18" charset="0"/>
            </a:rPr>
            <a:t>EthnicSet ranked second with ₹58,500 in revenue</a:t>
          </a:r>
        </a:p>
        <a:p>
          <a:pPr marL="171450" indent="-171450" algn="l">
            <a:buFont typeface="Wingdings" panose="05000000000000000000" pitchFamily="2" charset="2"/>
            <a:buChar char="Ø"/>
          </a:pPr>
          <a:r>
            <a:rPr lang="en-IN">
              <a:solidFill>
                <a:schemeClr val="bg1"/>
              </a:solidFill>
              <a:latin typeface="Bebas Neue" panose="020B0606020202050201" pitchFamily="34" charset="0"/>
              <a:cs typeface="Times New Roman" panose="02020603050405020304" pitchFamily="18" charset="0"/>
            </a:rPr>
            <a:t> Kurti was the highest volume seller with consistent orders across all 3 months</a:t>
          </a:r>
        </a:p>
        <a:p>
          <a:pPr marL="171450" indent="-171450" algn="l">
            <a:buFont typeface="Wingdings" panose="05000000000000000000" pitchFamily="2" charset="2"/>
            <a:buChar char="Ø"/>
          </a:pPr>
          <a:r>
            <a:rPr lang="en-IN">
              <a:solidFill>
                <a:schemeClr val="bg1"/>
              </a:solidFill>
              <a:latin typeface="Bebas Neue" panose="020B0606020202050201" pitchFamily="34" charset="0"/>
              <a:cs typeface="Times New Roman" panose="02020603050405020304" pitchFamily="18" charset="0"/>
            </a:rPr>
            <a:t> Budget categories like Floral-Dress (₹4,200) and Sweatshirt (₹7,600) recorded lowest revenue</a:t>
          </a:r>
        </a:p>
        <a:p>
          <a:pPr marL="171450" indent="-171450" algn="l">
            <a:buFont typeface="Wingdings" panose="05000000000000000000" pitchFamily="2" charset="2"/>
            <a:buChar char="Ø"/>
          </a:pPr>
          <a:r>
            <a:rPr lang="en-IN">
              <a:solidFill>
                <a:schemeClr val="bg1"/>
              </a:solidFill>
              <a:latin typeface="Bebas Neue" panose="020B0606020202050201" pitchFamily="34" charset="0"/>
              <a:cs typeface="Times New Roman" panose="02020603050405020304" pitchFamily="18" charset="0"/>
            </a:rPr>
            <a:t> Premium categories (Saree + EthnicSet) alone contributed over 36% of total revenue</a:t>
          </a:r>
          <a:endParaRPr lang="en-IN" sz="1100">
            <a:solidFill>
              <a:schemeClr val="bg1"/>
            </a:solidFill>
            <a:latin typeface="Bebas Neue" panose="020B0606020202050201" pitchFamily="34" charset="0"/>
            <a:cs typeface="Times New Roman" panose="02020603050405020304" pitchFamily="18" charset="0"/>
          </a:endParaRPr>
        </a:p>
      </xdr:txBody>
    </xdr:sp>
    <xdr:clientData/>
  </xdr:twoCellAnchor>
  <xdr:twoCellAnchor editAs="oneCell">
    <xdr:from>
      <xdr:col>13</xdr:col>
      <xdr:colOff>579120</xdr:colOff>
      <xdr:row>0</xdr:row>
      <xdr:rowOff>571500</xdr:rowOff>
    </xdr:from>
    <xdr:to>
      <xdr:col>16</xdr:col>
      <xdr:colOff>579120</xdr:colOff>
      <xdr:row>19</xdr:row>
      <xdr:rowOff>45720</xdr:rowOff>
    </xdr:to>
    <mc:AlternateContent xmlns:mc="http://schemas.openxmlformats.org/markup-compatibility/2006" xmlns:a14="http://schemas.microsoft.com/office/drawing/2010/main">
      <mc:Choice Requires="a14">
        <xdr:graphicFrame macro="">
          <xdr:nvGraphicFramePr>
            <xdr:cNvPr id="14" name=" CITY">
              <a:extLst>
                <a:ext uri="{FF2B5EF4-FFF2-40B4-BE49-F238E27FC236}">
                  <a16:creationId xmlns:a16="http://schemas.microsoft.com/office/drawing/2014/main" id="{D742302B-CF9A-44D9-A1C5-3DF4395C3313}"/>
                </a:ext>
              </a:extLst>
            </xdr:cNvPr>
            <xdr:cNvGraphicFramePr/>
          </xdr:nvGraphicFramePr>
          <xdr:xfrm>
            <a:off x="0" y="0"/>
            <a:ext cx="0" cy="0"/>
          </xdr:xfrm>
          <a:graphic>
            <a:graphicData uri="http://schemas.microsoft.com/office/drawing/2010/slicer">
              <sle:slicer xmlns:sle="http://schemas.microsoft.com/office/drawing/2010/slicer" name=" CITY"/>
            </a:graphicData>
          </a:graphic>
        </xdr:graphicFrame>
      </mc:Choice>
      <mc:Fallback xmlns="">
        <xdr:sp macro="" textlink="">
          <xdr:nvSpPr>
            <xdr:cNvPr id="0" name=""/>
            <xdr:cNvSpPr>
              <a:spLocks noTextEdit="1"/>
            </xdr:cNvSpPr>
          </xdr:nvSpPr>
          <xdr:spPr>
            <a:xfrm>
              <a:off x="9204960" y="571500"/>
              <a:ext cx="1828800" cy="3360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541020</xdr:rowOff>
    </xdr:from>
    <xdr:to>
      <xdr:col>19</xdr:col>
      <xdr:colOff>2377440</xdr:colOff>
      <xdr:row>0</xdr:row>
      <xdr:rowOff>541020</xdr:rowOff>
    </xdr:to>
    <xdr:cxnSp macro="">
      <xdr:nvCxnSpPr>
        <xdr:cNvPr id="4" name="Straight Connector 3">
          <a:extLst>
            <a:ext uri="{FF2B5EF4-FFF2-40B4-BE49-F238E27FC236}">
              <a16:creationId xmlns:a16="http://schemas.microsoft.com/office/drawing/2014/main" id="{4E45FC3E-AA1B-36F3-B518-F78C135B1C6F}"/>
            </a:ext>
          </a:extLst>
        </xdr:cNvPr>
        <xdr:cNvCxnSpPr/>
      </xdr:nvCxnSpPr>
      <xdr:spPr>
        <a:xfrm>
          <a:off x="0" y="541020"/>
          <a:ext cx="14660880" cy="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15240</xdr:colOff>
      <xdr:row>2</xdr:row>
      <xdr:rowOff>22860</xdr:rowOff>
    </xdr:from>
    <xdr:to>
      <xdr:col>2</xdr:col>
      <xdr:colOff>15240</xdr:colOff>
      <xdr:row>2</xdr:row>
      <xdr:rowOff>30480</xdr:rowOff>
    </xdr:to>
    <xdr:cxnSp macro="">
      <xdr:nvCxnSpPr>
        <xdr:cNvPr id="15" name="Straight Connector 14">
          <a:extLst>
            <a:ext uri="{FF2B5EF4-FFF2-40B4-BE49-F238E27FC236}">
              <a16:creationId xmlns:a16="http://schemas.microsoft.com/office/drawing/2014/main" id="{3E23E908-84C3-EBF2-F4AD-EF668A34B8CD}"/>
            </a:ext>
          </a:extLst>
        </xdr:cNvPr>
        <xdr:cNvCxnSpPr/>
      </xdr:nvCxnSpPr>
      <xdr:spPr>
        <a:xfrm flipV="1">
          <a:off x="15240" y="800100"/>
          <a:ext cx="2141220" cy="762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22860</xdr:colOff>
      <xdr:row>2</xdr:row>
      <xdr:rowOff>68580</xdr:rowOff>
    </xdr:from>
    <xdr:to>
      <xdr:col>2</xdr:col>
      <xdr:colOff>68580</xdr:colOff>
      <xdr:row>27</xdr:row>
      <xdr:rowOff>15240</xdr:rowOff>
    </xdr:to>
    <xdr:cxnSp macro="">
      <xdr:nvCxnSpPr>
        <xdr:cNvPr id="17" name="Straight Connector 16">
          <a:extLst>
            <a:ext uri="{FF2B5EF4-FFF2-40B4-BE49-F238E27FC236}">
              <a16:creationId xmlns:a16="http://schemas.microsoft.com/office/drawing/2014/main" id="{46EA51C4-0839-8934-399D-3DB152C8E989}"/>
            </a:ext>
          </a:extLst>
        </xdr:cNvPr>
        <xdr:cNvCxnSpPr/>
      </xdr:nvCxnSpPr>
      <xdr:spPr>
        <a:xfrm flipH="1">
          <a:off x="1943100" y="845820"/>
          <a:ext cx="45720" cy="451866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27</xdr:row>
      <xdr:rowOff>7620</xdr:rowOff>
    </xdr:from>
    <xdr:to>
      <xdr:col>2</xdr:col>
      <xdr:colOff>30480</xdr:colOff>
      <xdr:row>27</xdr:row>
      <xdr:rowOff>22860</xdr:rowOff>
    </xdr:to>
    <xdr:cxnSp macro="">
      <xdr:nvCxnSpPr>
        <xdr:cNvPr id="19" name="Straight Connector 18">
          <a:extLst>
            <a:ext uri="{FF2B5EF4-FFF2-40B4-BE49-F238E27FC236}">
              <a16:creationId xmlns:a16="http://schemas.microsoft.com/office/drawing/2014/main" id="{28E4F44C-3E9A-47C2-954D-48523AE1B021}"/>
            </a:ext>
          </a:extLst>
        </xdr:cNvPr>
        <xdr:cNvCxnSpPr/>
      </xdr:nvCxnSpPr>
      <xdr:spPr>
        <a:xfrm flipV="1">
          <a:off x="0" y="5250180"/>
          <a:ext cx="1950720" cy="1524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3</xdr:row>
      <xdr:rowOff>7620</xdr:rowOff>
    </xdr:from>
    <xdr:to>
      <xdr:col>2</xdr:col>
      <xdr:colOff>7620</xdr:colOff>
      <xdr:row>3</xdr:row>
      <xdr:rowOff>22860</xdr:rowOff>
    </xdr:to>
    <xdr:cxnSp macro="">
      <xdr:nvCxnSpPr>
        <xdr:cNvPr id="28" name="Straight Connector 27">
          <a:extLst>
            <a:ext uri="{FF2B5EF4-FFF2-40B4-BE49-F238E27FC236}">
              <a16:creationId xmlns:a16="http://schemas.microsoft.com/office/drawing/2014/main" id="{E0086A2A-9933-4C7F-14C1-4BF9092C20E9}"/>
            </a:ext>
          </a:extLst>
        </xdr:cNvPr>
        <xdr:cNvCxnSpPr/>
      </xdr:nvCxnSpPr>
      <xdr:spPr>
        <a:xfrm>
          <a:off x="0" y="967740"/>
          <a:ext cx="2148840" cy="1524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7620</xdr:colOff>
      <xdr:row>26</xdr:row>
      <xdr:rowOff>15240</xdr:rowOff>
    </xdr:from>
    <xdr:to>
      <xdr:col>1</xdr:col>
      <xdr:colOff>876300</xdr:colOff>
      <xdr:row>26</xdr:row>
      <xdr:rowOff>15240</xdr:rowOff>
    </xdr:to>
    <xdr:cxnSp macro="">
      <xdr:nvCxnSpPr>
        <xdr:cNvPr id="31" name="Straight Connector 30">
          <a:extLst>
            <a:ext uri="{FF2B5EF4-FFF2-40B4-BE49-F238E27FC236}">
              <a16:creationId xmlns:a16="http://schemas.microsoft.com/office/drawing/2014/main" id="{86D8D584-83F2-6FE9-577F-CC9C307FFF78}"/>
            </a:ext>
          </a:extLst>
        </xdr:cNvPr>
        <xdr:cNvCxnSpPr/>
      </xdr:nvCxnSpPr>
      <xdr:spPr>
        <a:xfrm>
          <a:off x="7620" y="5181600"/>
          <a:ext cx="1844040" cy="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106680</xdr:colOff>
      <xdr:row>0</xdr:row>
      <xdr:rowOff>0</xdr:rowOff>
    </xdr:from>
    <xdr:to>
      <xdr:col>1</xdr:col>
      <xdr:colOff>91440</xdr:colOff>
      <xdr:row>0</xdr:row>
      <xdr:rowOff>518160</xdr:rowOff>
    </xdr:to>
    <xdr:sp macro="" textlink="">
      <xdr:nvSpPr>
        <xdr:cNvPr id="42" name="Rectangle: Rounded Corners 41">
          <a:extLst>
            <a:ext uri="{FF2B5EF4-FFF2-40B4-BE49-F238E27FC236}">
              <a16:creationId xmlns:a16="http://schemas.microsoft.com/office/drawing/2014/main" id="{1AD015C4-F983-466C-863D-E8B4B80DA9CB}"/>
            </a:ext>
          </a:extLst>
        </xdr:cNvPr>
        <xdr:cNvSpPr/>
      </xdr:nvSpPr>
      <xdr:spPr>
        <a:xfrm>
          <a:off x="106680" y="0"/>
          <a:ext cx="960120" cy="518160"/>
        </a:xfrm>
        <a:prstGeom prst="roundRect">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chemeClr val="tx1"/>
              </a:solidFill>
              <a:latin typeface="Crimson Pro" pitchFamily="2" charset="0"/>
              <a:ea typeface="+mn-ea"/>
              <a:cs typeface="+mn-cs"/>
            </a:rPr>
            <a:t>PIVOT TABLES -04</a:t>
          </a:r>
        </a:p>
      </xdr:txBody>
    </xdr:sp>
    <xdr:clientData/>
  </xdr:twoCellAnchor>
  <xdr:twoCellAnchor>
    <xdr:from>
      <xdr:col>19</xdr:col>
      <xdr:colOff>388620</xdr:colOff>
      <xdr:row>0</xdr:row>
      <xdr:rowOff>45720</xdr:rowOff>
    </xdr:from>
    <xdr:to>
      <xdr:col>19</xdr:col>
      <xdr:colOff>1493520</xdr:colOff>
      <xdr:row>0</xdr:row>
      <xdr:rowOff>518160</xdr:rowOff>
    </xdr:to>
    <xdr:sp macro="" textlink="">
      <xdr:nvSpPr>
        <xdr:cNvPr id="43" name="Oval 42">
          <a:extLst>
            <a:ext uri="{FF2B5EF4-FFF2-40B4-BE49-F238E27FC236}">
              <a16:creationId xmlns:a16="http://schemas.microsoft.com/office/drawing/2014/main" id="{4CD4B5A9-EA9C-431C-8AA3-24B857D38FDC}"/>
            </a:ext>
          </a:extLst>
        </xdr:cNvPr>
        <xdr:cNvSpPr/>
      </xdr:nvSpPr>
      <xdr:spPr>
        <a:xfrm>
          <a:off x="12893040" y="45720"/>
          <a:ext cx="1104900" cy="472440"/>
        </a:xfrm>
        <a:prstGeom prst="ellipse">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Crimson Pro" pitchFamily="2" charset="0"/>
            </a:rPr>
            <a:t>SHEET</a:t>
          </a:r>
          <a:r>
            <a:rPr lang="en-IN" sz="1100" b="1" baseline="0">
              <a:solidFill>
                <a:schemeClr val="tx1"/>
              </a:solidFill>
              <a:latin typeface="Crimson Pro" pitchFamily="2" charset="0"/>
            </a:rPr>
            <a:t> </a:t>
          </a:r>
          <a:r>
            <a:rPr lang="en-IN" sz="1100" b="1">
              <a:solidFill>
                <a:schemeClr val="tx1"/>
              </a:solidFill>
              <a:latin typeface="Crimson Pro" pitchFamily="2" charset="0"/>
            </a:rPr>
            <a:t>04</a:t>
          </a:r>
        </a:p>
        <a:p>
          <a:pPr algn="l"/>
          <a:r>
            <a:rPr lang="en-IN" sz="1100" b="1">
              <a:solidFill>
                <a:schemeClr val="tx1"/>
              </a:solidFill>
              <a:latin typeface="Crimson Pro" pitchFamily="2" charset="0"/>
            </a:rPr>
            <a:t> </a:t>
          </a:r>
        </a:p>
      </xdr:txBody>
    </xdr:sp>
    <xdr:clientData/>
  </xdr:twoCellAnchor>
  <xdr:twoCellAnchor>
    <xdr:from>
      <xdr:col>5</xdr:col>
      <xdr:colOff>449580</xdr:colOff>
      <xdr:row>0</xdr:row>
      <xdr:rowOff>114300</xdr:rowOff>
    </xdr:from>
    <xdr:to>
      <xdr:col>5</xdr:col>
      <xdr:colOff>579120</xdr:colOff>
      <xdr:row>0</xdr:row>
      <xdr:rowOff>525780</xdr:rowOff>
    </xdr:to>
    <xdr:sp macro="" textlink="">
      <xdr:nvSpPr>
        <xdr:cNvPr id="44" name="Rectangle: Rounded Corners 43">
          <a:extLst>
            <a:ext uri="{FF2B5EF4-FFF2-40B4-BE49-F238E27FC236}">
              <a16:creationId xmlns:a16="http://schemas.microsoft.com/office/drawing/2014/main" id="{BDE2BC9F-4A9E-4F68-BA80-4D67F830A938}"/>
            </a:ext>
          </a:extLst>
        </xdr:cNvPr>
        <xdr:cNvSpPr/>
      </xdr:nvSpPr>
      <xdr:spPr>
        <a:xfrm>
          <a:off x="4419600" y="114300"/>
          <a:ext cx="129540" cy="411480"/>
        </a:xfrm>
        <a:prstGeom prst="roundRect">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525780</xdr:colOff>
      <xdr:row>0</xdr:row>
      <xdr:rowOff>91440</xdr:rowOff>
    </xdr:from>
    <xdr:to>
      <xdr:col>15</xdr:col>
      <xdr:colOff>30480</xdr:colOff>
      <xdr:row>0</xdr:row>
      <xdr:rowOff>502920</xdr:rowOff>
    </xdr:to>
    <xdr:sp macro="" textlink="">
      <xdr:nvSpPr>
        <xdr:cNvPr id="45" name="Rectangle: Rounded Corners 44">
          <a:extLst>
            <a:ext uri="{FF2B5EF4-FFF2-40B4-BE49-F238E27FC236}">
              <a16:creationId xmlns:a16="http://schemas.microsoft.com/office/drawing/2014/main" id="{47314428-D1E1-4554-A499-081C8B38E7D0}"/>
            </a:ext>
          </a:extLst>
        </xdr:cNvPr>
        <xdr:cNvSpPr/>
      </xdr:nvSpPr>
      <xdr:spPr>
        <a:xfrm>
          <a:off x="9761220" y="91440"/>
          <a:ext cx="114300" cy="4114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274320</xdr:colOff>
      <xdr:row>1</xdr:row>
      <xdr:rowOff>91440</xdr:rowOff>
    </xdr:from>
    <xdr:to>
      <xdr:col>8</xdr:col>
      <xdr:colOff>495300</xdr:colOff>
      <xdr:row>7</xdr:row>
      <xdr:rowOff>0</xdr:rowOff>
    </xdr:to>
    <mc:AlternateContent xmlns:mc="http://schemas.openxmlformats.org/markup-compatibility/2006" xmlns:a14="http://schemas.microsoft.com/office/drawing/2010/main">
      <mc:Choice Requires="a14">
        <xdr:graphicFrame macro="">
          <xdr:nvGraphicFramePr>
            <xdr:cNvPr id="3" name=" GENDER">
              <a:extLst>
                <a:ext uri="{FF2B5EF4-FFF2-40B4-BE49-F238E27FC236}">
                  <a16:creationId xmlns:a16="http://schemas.microsoft.com/office/drawing/2014/main" id="{DC442D9A-46C8-E2AA-AAAE-18A24E6375D3}"/>
                </a:ext>
              </a:extLst>
            </xdr:cNvPr>
            <xdr:cNvGraphicFramePr/>
          </xdr:nvGraphicFramePr>
          <xdr:xfrm>
            <a:off x="0" y="0"/>
            <a:ext cx="0" cy="0"/>
          </xdr:xfrm>
          <a:graphic>
            <a:graphicData uri="http://schemas.microsoft.com/office/drawing/2010/slicer">
              <sle:slicer xmlns:sle="http://schemas.microsoft.com/office/drawing/2010/slicer" name=" GENDER"/>
            </a:graphicData>
          </a:graphic>
        </xdr:graphicFrame>
      </mc:Choice>
      <mc:Fallback xmlns="">
        <xdr:sp macro="" textlink="">
          <xdr:nvSpPr>
            <xdr:cNvPr id="0" name=""/>
            <xdr:cNvSpPr>
              <a:spLocks noTextEdit="1"/>
            </xdr:cNvSpPr>
          </xdr:nvSpPr>
          <xdr:spPr>
            <a:xfrm>
              <a:off x="3268980" y="563880"/>
              <a:ext cx="326898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121920</xdr:colOff>
      <xdr:row>1</xdr:row>
      <xdr:rowOff>167640</xdr:rowOff>
    </xdr:from>
    <xdr:to>
      <xdr:col>16</xdr:col>
      <xdr:colOff>533400</xdr:colOff>
      <xdr:row>4</xdr:row>
      <xdr:rowOff>152400</xdr:rowOff>
    </xdr:to>
    <xdr:sp macro="" textlink="">
      <xdr:nvSpPr>
        <xdr:cNvPr id="4" name="Rectangle: Rounded Corners 3">
          <a:extLst>
            <a:ext uri="{FF2B5EF4-FFF2-40B4-BE49-F238E27FC236}">
              <a16:creationId xmlns:a16="http://schemas.microsoft.com/office/drawing/2014/main" id="{EEC07F25-1650-454D-A060-56B844A239DB}"/>
            </a:ext>
          </a:extLst>
        </xdr:cNvPr>
        <xdr:cNvSpPr/>
      </xdr:nvSpPr>
      <xdr:spPr>
        <a:xfrm>
          <a:off x="8602980" y="640080"/>
          <a:ext cx="2849880" cy="533400"/>
        </a:xfrm>
        <a:prstGeom prst="roundRect">
          <a:avLst/>
        </a:prstGeom>
        <a:solidFill>
          <a:schemeClr val="tx1"/>
        </a:solidFill>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r>
            <a:rPr lang="en-IN" sz="2400" b="1">
              <a:solidFill>
                <a:schemeClr val="bg1"/>
              </a:solidFill>
              <a:latin typeface="Aptos" panose="020B0004020202020204" pitchFamily="34" charset="0"/>
              <a:ea typeface="+mn-ea"/>
              <a:cs typeface="+mn-cs"/>
            </a:rPr>
            <a:t>KEY INSIGHTS</a:t>
          </a:r>
        </a:p>
      </xdr:txBody>
    </xdr:sp>
    <xdr:clientData/>
  </xdr:twoCellAnchor>
  <xdr:twoCellAnchor>
    <xdr:from>
      <xdr:col>12</xdr:col>
      <xdr:colOff>30480</xdr:colOff>
      <xdr:row>5</xdr:row>
      <xdr:rowOff>45720</xdr:rowOff>
    </xdr:from>
    <xdr:to>
      <xdr:col>16</xdr:col>
      <xdr:colOff>502920</xdr:colOff>
      <xdr:row>20</xdr:row>
      <xdr:rowOff>53340</xdr:rowOff>
    </xdr:to>
    <xdr:sp macro="" textlink="">
      <xdr:nvSpPr>
        <xdr:cNvPr id="5" name="Rectangle: Rounded Corners 4">
          <a:extLst>
            <a:ext uri="{FF2B5EF4-FFF2-40B4-BE49-F238E27FC236}">
              <a16:creationId xmlns:a16="http://schemas.microsoft.com/office/drawing/2014/main" id="{F47353EE-A325-4DB1-B59E-CC6383AD5AD7}"/>
            </a:ext>
          </a:extLst>
        </xdr:cNvPr>
        <xdr:cNvSpPr/>
      </xdr:nvSpPr>
      <xdr:spPr>
        <a:xfrm>
          <a:off x="8511540" y="1249680"/>
          <a:ext cx="2910840" cy="2750820"/>
        </a:xfrm>
        <a:prstGeom prst="roundRect">
          <a:avLst/>
        </a:prstGeom>
        <a:solidFill>
          <a:schemeClr val="tx1"/>
        </a:solidFill>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2400" b="1">
            <a:solidFill>
              <a:schemeClr val="bg1"/>
            </a:solidFill>
            <a:latin typeface="Aptos" panose="020B0004020202020204" pitchFamily="34" charset="0"/>
            <a:ea typeface="+mn-ea"/>
            <a:cs typeface="+mn-cs"/>
          </a:endParaRPr>
        </a:p>
      </xdr:txBody>
    </xdr:sp>
    <xdr:clientData/>
  </xdr:twoCellAnchor>
  <xdr:twoCellAnchor>
    <xdr:from>
      <xdr:col>12</xdr:col>
      <xdr:colOff>350520</xdr:colOff>
      <xdr:row>6</xdr:row>
      <xdr:rowOff>106680</xdr:rowOff>
    </xdr:from>
    <xdr:to>
      <xdr:col>16</xdr:col>
      <xdr:colOff>236220</xdr:colOff>
      <xdr:row>19</xdr:row>
      <xdr:rowOff>68580</xdr:rowOff>
    </xdr:to>
    <xdr:sp macro="" textlink="">
      <xdr:nvSpPr>
        <xdr:cNvPr id="6" name="Rectangle 5">
          <a:extLst>
            <a:ext uri="{FF2B5EF4-FFF2-40B4-BE49-F238E27FC236}">
              <a16:creationId xmlns:a16="http://schemas.microsoft.com/office/drawing/2014/main" id="{6061FFD1-3A14-0B2A-73AC-1CCB03F69458}"/>
            </a:ext>
          </a:extLst>
        </xdr:cNvPr>
        <xdr:cNvSpPr/>
      </xdr:nvSpPr>
      <xdr:spPr>
        <a:xfrm>
          <a:off x="8831580" y="1493520"/>
          <a:ext cx="2324100" cy="2339340"/>
        </a:xfrm>
        <a:prstGeom prst="rect">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171450" indent="-171450">
            <a:buFont typeface="Wingdings" panose="05000000000000000000" pitchFamily="2" charset="2"/>
            <a:buChar char="Ø"/>
          </a:pPr>
          <a:r>
            <a:rPr lang="en-IN" sz="1100">
              <a:solidFill>
                <a:schemeClr val="bg1"/>
              </a:solidFill>
              <a:latin typeface="Times New Roman" panose="02020603050405020304" pitchFamily="18" charset="0"/>
              <a:ea typeface="+mn-ea"/>
              <a:cs typeface="Times New Roman" panose="02020603050405020304" pitchFamily="18" charset="0"/>
            </a:rPr>
            <a:t> UPI led with ₹4,43,102 (66.99%)  the top payment method by value.</a:t>
          </a:r>
        </a:p>
        <a:p>
          <a:pPr marL="171450" indent="-171450">
            <a:buFont typeface="Wingdings" panose="05000000000000000000" pitchFamily="2" charset="2"/>
            <a:buChar char="Ø"/>
          </a:pPr>
          <a:r>
            <a:rPr lang="en-IN" sz="1100">
              <a:solidFill>
                <a:schemeClr val="bg1"/>
              </a:solidFill>
              <a:latin typeface="Times New Roman" panose="02020603050405020304" pitchFamily="18" charset="0"/>
              <a:ea typeface="+mn-ea"/>
              <a:cs typeface="Times New Roman" panose="02020603050405020304" pitchFamily="18" charset="0"/>
            </a:rPr>
            <a:t> Net Banking followed with ₹1,62,074 (24.50%).</a:t>
          </a:r>
        </a:p>
        <a:p>
          <a:pPr marL="171450" indent="-171450">
            <a:buFont typeface="Wingdings" panose="05000000000000000000" pitchFamily="2" charset="2"/>
            <a:buChar char="Ø"/>
          </a:pPr>
          <a:r>
            <a:rPr lang="en-IN" sz="1100">
              <a:solidFill>
                <a:schemeClr val="bg1"/>
              </a:solidFill>
              <a:latin typeface="Times New Roman" panose="02020603050405020304" pitchFamily="18" charset="0"/>
              <a:ea typeface="+mn-ea"/>
              <a:cs typeface="Times New Roman" panose="02020603050405020304" pitchFamily="18" charset="0"/>
            </a:rPr>
            <a:t> Cash recorded the lowest revenue at ₹56,296 (8.51%) least preferred method.</a:t>
          </a:r>
        </a:p>
        <a:p>
          <a:pPr marL="171450" indent="-171450">
            <a:buFont typeface="Wingdings" panose="05000000000000000000" pitchFamily="2" charset="2"/>
            <a:buChar char="Ø"/>
          </a:pPr>
          <a:r>
            <a:rPr lang="en-IN" sz="1100">
              <a:solidFill>
                <a:schemeClr val="bg1"/>
              </a:solidFill>
              <a:latin typeface="Times New Roman" panose="02020603050405020304" pitchFamily="18" charset="0"/>
              <a:cs typeface="Times New Roman" panose="02020603050405020304" pitchFamily="18" charset="0"/>
            </a:rPr>
            <a:t> Digital payments (Net Banking + UPI) collectively dominated total revenue.</a:t>
          </a:r>
        </a:p>
        <a:p>
          <a:pPr marL="171450" indent="-171450">
            <a:buFont typeface="Wingdings" panose="05000000000000000000" pitchFamily="2" charset="2"/>
            <a:buChar char="Ø"/>
          </a:pPr>
          <a:r>
            <a:rPr lang="en-IN" sz="1100">
              <a:solidFill>
                <a:schemeClr val="bg1"/>
              </a:solidFill>
              <a:latin typeface="Times New Roman" panose="02020603050405020304" pitchFamily="18" charset="0"/>
              <a:cs typeface="Times New Roman" panose="02020603050405020304" pitchFamily="18" charset="0"/>
            </a:rPr>
            <a:t> Clear shift toward cashless transactions visible across all 3 months.</a:t>
          </a:r>
        </a:p>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editAs="oneCell">
    <xdr:from>
      <xdr:col>3</xdr:col>
      <xdr:colOff>53340</xdr:colOff>
      <xdr:row>0</xdr:row>
      <xdr:rowOff>38100</xdr:rowOff>
    </xdr:from>
    <xdr:to>
      <xdr:col>3</xdr:col>
      <xdr:colOff>487680</xdr:colOff>
      <xdr:row>1</xdr:row>
      <xdr:rowOff>0</xdr:rowOff>
    </xdr:to>
    <xdr:pic>
      <xdr:nvPicPr>
        <xdr:cNvPr id="9" name="Graphic 8" descr="Piggy Bank with solid fill">
          <a:extLst>
            <a:ext uri="{FF2B5EF4-FFF2-40B4-BE49-F238E27FC236}">
              <a16:creationId xmlns:a16="http://schemas.microsoft.com/office/drawing/2014/main" id="{6037CAA4-7AF9-8682-537D-D184037CA9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1780" y="38100"/>
          <a:ext cx="434340" cy="434340"/>
        </a:xfrm>
        <a:prstGeom prst="rect">
          <a:avLst/>
        </a:prstGeom>
      </xdr:spPr>
    </xdr:pic>
    <xdr:clientData/>
  </xdr:twoCellAnchor>
  <xdr:twoCellAnchor>
    <xdr:from>
      <xdr:col>0</xdr:col>
      <xdr:colOff>0</xdr:colOff>
      <xdr:row>7</xdr:row>
      <xdr:rowOff>53340</xdr:rowOff>
    </xdr:from>
    <xdr:to>
      <xdr:col>8</xdr:col>
      <xdr:colOff>518160</xdr:colOff>
      <xdr:row>29</xdr:row>
      <xdr:rowOff>144780</xdr:rowOff>
    </xdr:to>
    <xdr:graphicFrame macro="">
      <xdr:nvGraphicFramePr>
        <xdr:cNvPr id="7" name="Chart 6">
          <a:extLst>
            <a:ext uri="{FF2B5EF4-FFF2-40B4-BE49-F238E27FC236}">
              <a16:creationId xmlns:a16="http://schemas.microsoft.com/office/drawing/2014/main" id="{D3FE4F78-ADE7-21A9-4FD7-E71833F26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594360</xdr:colOff>
      <xdr:row>1</xdr:row>
      <xdr:rowOff>91440</xdr:rowOff>
    </xdr:from>
    <xdr:to>
      <xdr:col>11</xdr:col>
      <xdr:colOff>594360</xdr:colOff>
      <xdr:row>19</xdr:row>
      <xdr:rowOff>38100</xdr:rowOff>
    </xdr:to>
    <mc:AlternateContent xmlns:mc="http://schemas.openxmlformats.org/markup-compatibility/2006" xmlns:a14="http://schemas.microsoft.com/office/drawing/2010/main">
      <mc:Choice Requires="a14">
        <xdr:graphicFrame macro="">
          <xdr:nvGraphicFramePr>
            <xdr:cNvPr id="2" name="City 2">
              <a:extLst>
                <a:ext uri="{FF2B5EF4-FFF2-40B4-BE49-F238E27FC236}">
                  <a16:creationId xmlns:a16="http://schemas.microsoft.com/office/drawing/2014/main" id="{7C285075-14BA-39A6-397E-E9B4338E417C}"/>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6637020" y="563880"/>
              <a:ext cx="1828800" cy="323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22860</xdr:rowOff>
    </xdr:from>
    <xdr:to>
      <xdr:col>19</xdr:col>
      <xdr:colOff>1325880</xdr:colOff>
      <xdr:row>1</xdr:row>
      <xdr:rowOff>129540</xdr:rowOff>
    </xdr:to>
    <xdr:cxnSp macro="">
      <xdr:nvCxnSpPr>
        <xdr:cNvPr id="10" name="Straight Connector 9">
          <a:extLst>
            <a:ext uri="{FF2B5EF4-FFF2-40B4-BE49-F238E27FC236}">
              <a16:creationId xmlns:a16="http://schemas.microsoft.com/office/drawing/2014/main" id="{030C500F-2E8F-CA56-0588-26F19A3E90C8}"/>
            </a:ext>
          </a:extLst>
        </xdr:cNvPr>
        <xdr:cNvCxnSpPr/>
      </xdr:nvCxnSpPr>
      <xdr:spPr>
        <a:xfrm>
          <a:off x="0" y="495300"/>
          <a:ext cx="14074140" cy="10668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236220</xdr:colOff>
      <xdr:row>0</xdr:row>
      <xdr:rowOff>22860</xdr:rowOff>
    </xdr:from>
    <xdr:to>
      <xdr:col>2</xdr:col>
      <xdr:colOff>373380</xdr:colOff>
      <xdr:row>0</xdr:row>
      <xdr:rowOff>426720</xdr:rowOff>
    </xdr:to>
    <xdr:sp macro="" textlink="">
      <xdr:nvSpPr>
        <xdr:cNvPr id="8" name="Rectangle: Rounded Corners 7">
          <a:extLst>
            <a:ext uri="{FF2B5EF4-FFF2-40B4-BE49-F238E27FC236}">
              <a16:creationId xmlns:a16="http://schemas.microsoft.com/office/drawing/2014/main" id="{09F922D8-D364-4BFB-BE91-5051E2A03D93}"/>
            </a:ext>
          </a:extLst>
        </xdr:cNvPr>
        <xdr:cNvSpPr/>
      </xdr:nvSpPr>
      <xdr:spPr>
        <a:xfrm>
          <a:off x="2621280" y="22860"/>
          <a:ext cx="137160" cy="403860"/>
        </a:xfrm>
        <a:prstGeom prst="roundRect">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259080</xdr:colOff>
      <xdr:row>0</xdr:row>
      <xdr:rowOff>76200</xdr:rowOff>
    </xdr:from>
    <xdr:to>
      <xdr:col>16</xdr:col>
      <xdr:colOff>373380</xdr:colOff>
      <xdr:row>1</xdr:row>
      <xdr:rowOff>15240</xdr:rowOff>
    </xdr:to>
    <xdr:sp macro="" textlink="">
      <xdr:nvSpPr>
        <xdr:cNvPr id="11" name="Rectangle: Rounded Corners 10">
          <a:extLst>
            <a:ext uri="{FF2B5EF4-FFF2-40B4-BE49-F238E27FC236}">
              <a16:creationId xmlns:a16="http://schemas.microsoft.com/office/drawing/2014/main" id="{BBC63821-DED6-4DFC-AA5D-7893B8265E61}"/>
            </a:ext>
          </a:extLst>
        </xdr:cNvPr>
        <xdr:cNvSpPr/>
      </xdr:nvSpPr>
      <xdr:spPr>
        <a:xfrm>
          <a:off x="10942320" y="76200"/>
          <a:ext cx="114300" cy="4114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0</xdr:row>
      <xdr:rowOff>0</xdr:rowOff>
    </xdr:from>
    <xdr:to>
      <xdr:col>0</xdr:col>
      <xdr:colOff>1005840</xdr:colOff>
      <xdr:row>1</xdr:row>
      <xdr:rowOff>0</xdr:rowOff>
    </xdr:to>
    <xdr:sp macro="" textlink="">
      <xdr:nvSpPr>
        <xdr:cNvPr id="13" name="Rectangle: Rounded Corners 12">
          <a:extLst>
            <a:ext uri="{FF2B5EF4-FFF2-40B4-BE49-F238E27FC236}">
              <a16:creationId xmlns:a16="http://schemas.microsoft.com/office/drawing/2014/main" id="{CA2954C4-358A-44A8-9DF0-AA563FC7A60F}"/>
            </a:ext>
          </a:extLst>
        </xdr:cNvPr>
        <xdr:cNvSpPr/>
      </xdr:nvSpPr>
      <xdr:spPr>
        <a:xfrm>
          <a:off x="45720" y="0"/>
          <a:ext cx="960120" cy="472440"/>
        </a:xfrm>
        <a:prstGeom prst="roundRect">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chemeClr val="tx1"/>
              </a:solidFill>
              <a:latin typeface="Crimson Pro" pitchFamily="2" charset="0"/>
              <a:ea typeface="+mn-ea"/>
              <a:cs typeface="+mn-cs"/>
            </a:rPr>
            <a:t>PIVOT TABLES -05</a:t>
          </a:r>
        </a:p>
      </xdr:txBody>
    </xdr:sp>
    <xdr:clientData/>
  </xdr:twoCellAnchor>
  <xdr:twoCellAnchor>
    <xdr:from>
      <xdr:col>19</xdr:col>
      <xdr:colOff>160020</xdr:colOff>
      <xdr:row>0</xdr:row>
      <xdr:rowOff>0</xdr:rowOff>
    </xdr:from>
    <xdr:to>
      <xdr:col>19</xdr:col>
      <xdr:colOff>1264920</xdr:colOff>
      <xdr:row>1</xdr:row>
      <xdr:rowOff>0</xdr:rowOff>
    </xdr:to>
    <xdr:sp macro="" textlink="">
      <xdr:nvSpPr>
        <xdr:cNvPr id="14" name="Oval 13">
          <a:extLst>
            <a:ext uri="{FF2B5EF4-FFF2-40B4-BE49-F238E27FC236}">
              <a16:creationId xmlns:a16="http://schemas.microsoft.com/office/drawing/2014/main" id="{BF5DF53A-2358-4641-83D4-D927FC02DC8F}"/>
            </a:ext>
          </a:extLst>
        </xdr:cNvPr>
        <xdr:cNvSpPr/>
      </xdr:nvSpPr>
      <xdr:spPr>
        <a:xfrm>
          <a:off x="12908280" y="0"/>
          <a:ext cx="1104900" cy="472440"/>
        </a:xfrm>
        <a:prstGeom prst="ellipse">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Crimson Pro" pitchFamily="2" charset="0"/>
            </a:rPr>
            <a:t>SHEET</a:t>
          </a:r>
          <a:r>
            <a:rPr lang="en-IN" sz="1100" b="1" baseline="0">
              <a:solidFill>
                <a:schemeClr val="tx1"/>
              </a:solidFill>
              <a:latin typeface="Crimson Pro" pitchFamily="2" charset="0"/>
            </a:rPr>
            <a:t> </a:t>
          </a:r>
          <a:r>
            <a:rPr lang="en-IN" sz="1100" b="1">
              <a:solidFill>
                <a:schemeClr val="tx1"/>
              </a:solidFill>
              <a:latin typeface="Crimson Pro" pitchFamily="2" charset="0"/>
            </a:rPr>
            <a:t>05</a:t>
          </a:r>
        </a:p>
        <a:p>
          <a:pPr algn="l"/>
          <a:r>
            <a:rPr lang="en-IN" sz="1100" b="1">
              <a:solidFill>
                <a:schemeClr val="tx1"/>
              </a:solidFill>
              <a:latin typeface="Crimson Pro" pitchFamily="2" charset="0"/>
            </a:rPr>
            <a:t> </a:t>
          </a:r>
        </a:p>
      </xdr:txBody>
    </xdr:sp>
    <xdr:clientData/>
  </xdr:twoCellAnchor>
  <xdr:twoCellAnchor>
    <xdr:from>
      <xdr:col>0</xdr:col>
      <xdr:colOff>0</xdr:colOff>
      <xdr:row>2</xdr:row>
      <xdr:rowOff>175260</xdr:rowOff>
    </xdr:from>
    <xdr:to>
      <xdr:col>1</xdr:col>
      <xdr:colOff>1059180</xdr:colOff>
      <xdr:row>3</xdr:row>
      <xdr:rowOff>0</xdr:rowOff>
    </xdr:to>
    <xdr:cxnSp macro="">
      <xdr:nvCxnSpPr>
        <xdr:cNvPr id="16" name="Straight Connector 15">
          <a:extLst>
            <a:ext uri="{FF2B5EF4-FFF2-40B4-BE49-F238E27FC236}">
              <a16:creationId xmlns:a16="http://schemas.microsoft.com/office/drawing/2014/main" id="{0DBAF19F-E8F0-76E4-13B1-47ACB5EB6640}"/>
            </a:ext>
          </a:extLst>
        </xdr:cNvPr>
        <xdr:cNvCxnSpPr/>
      </xdr:nvCxnSpPr>
      <xdr:spPr>
        <a:xfrm flipV="1">
          <a:off x="0" y="830580"/>
          <a:ext cx="2346960" cy="762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xdr:row>
      <xdr:rowOff>7620</xdr:rowOff>
    </xdr:from>
    <xdr:to>
      <xdr:col>1</xdr:col>
      <xdr:colOff>1082040</xdr:colOff>
      <xdr:row>2</xdr:row>
      <xdr:rowOff>15240</xdr:rowOff>
    </xdr:to>
    <xdr:cxnSp macro="">
      <xdr:nvCxnSpPr>
        <xdr:cNvPr id="21" name="Straight Connector 20">
          <a:extLst>
            <a:ext uri="{FF2B5EF4-FFF2-40B4-BE49-F238E27FC236}">
              <a16:creationId xmlns:a16="http://schemas.microsoft.com/office/drawing/2014/main" id="{FD85DD0B-D7B2-1BFD-208C-905771DA697F}"/>
            </a:ext>
          </a:extLst>
        </xdr:cNvPr>
        <xdr:cNvCxnSpPr/>
      </xdr:nvCxnSpPr>
      <xdr:spPr>
        <a:xfrm>
          <a:off x="0" y="662940"/>
          <a:ext cx="2369820" cy="762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0</xdr:colOff>
      <xdr:row>2</xdr:row>
      <xdr:rowOff>7620</xdr:rowOff>
    </xdr:from>
    <xdr:to>
      <xdr:col>2</xdr:col>
      <xdr:colOff>15240</xdr:colOff>
      <xdr:row>7</xdr:row>
      <xdr:rowOff>30480</xdr:rowOff>
    </xdr:to>
    <xdr:cxnSp macro="">
      <xdr:nvCxnSpPr>
        <xdr:cNvPr id="27" name="Straight Connector 26">
          <a:extLst>
            <a:ext uri="{FF2B5EF4-FFF2-40B4-BE49-F238E27FC236}">
              <a16:creationId xmlns:a16="http://schemas.microsoft.com/office/drawing/2014/main" id="{F116FA8F-2C82-53F0-1B1B-E6B426574746}"/>
            </a:ext>
          </a:extLst>
        </xdr:cNvPr>
        <xdr:cNvCxnSpPr/>
      </xdr:nvCxnSpPr>
      <xdr:spPr>
        <a:xfrm>
          <a:off x="2385060" y="662940"/>
          <a:ext cx="15240" cy="93726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7</xdr:row>
      <xdr:rowOff>45720</xdr:rowOff>
    </xdr:from>
    <xdr:to>
      <xdr:col>9</xdr:col>
      <xdr:colOff>586740</xdr:colOff>
      <xdr:row>29</xdr:row>
      <xdr:rowOff>76200</xdr:rowOff>
    </xdr:to>
    <xdr:graphicFrame macro="">
      <xdr:nvGraphicFramePr>
        <xdr:cNvPr id="2" name="Chart 1">
          <a:extLst>
            <a:ext uri="{FF2B5EF4-FFF2-40B4-BE49-F238E27FC236}">
              <a16:creationId xmlns:a16="http://schemas.microsoft.com/office/drawing/2014/main" id="{AF81AD69-86DC-21CA-44C5-5B68A8ACC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586740</xdr:colOff>
      <xdr:row>0</xdr:row>
      <xdr:rowOff>106680</xdr:rowOff>
    </xdr:from>
    <xdr:to>
      <xdr:col>6</xdr:col>
      <xdr:colOff>83820</xdr:colOff>
      <xdr:row>0</xdr:row>
      <xdr:rowOff>556260</xdr:rowOff>
    </xdr:to>
    <xdr:pic>
      <xdr:nvPicPr>
        <xdr:cNvPr id="6" name="Graphic 5" descr="Truck with solid fill">
          <a:extLst>
            <a:ext uri="{FF2B5EF4-FFF2-40B4-BE49-F238E27FC236}">
              <a16:creationId xmlns:a16="http://schemas.microsoft.com/office/drawing/2014/main" id="{045EBB8D-A00A-D6CE-8315-7A045312F06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634740" y="106680"/>
          <a:ext cx="716280" cy="449580"/>
        </a:xfrm>
        <a:prstGeom prst="rect">
          <a:avLst/>
        </a:prstGeom>
      </xdr:spPr>
    </xdr:pic>
    <xdr:clientData/>
  </xdr:twoCellAnchor>
  <xdr:twoCellAnchor editAs="oneCell">
    <xdr:from>
      <xdr:col>10</xdr:col>
      <xdr:colOff>53340</xdr:colOff>
      <xdr:row>1</xdr:row>
      <xdr:rowOff>91440</xdr:rowOff>
    </xdr:from>
    <xdr:to>
      <xdr:col>13</xdr:col>
      <xdr:colOff>53340</xdr:colOff>
      <xdr:row>19</xdr:row>
      <xdr:rowOff>53340</xdr:rowOff>
    </xdr:to>
    <mc:AlternateContent xmlns:mc="http://schemas.openxmlformats.org/markup-compatibility/2006" xmlns:a14="http://schemas.microsoft.com/office/drawing/2010/main">
      <mc:Choice Requires="a14">
        <xdr:graphicFrame macro="">
          <xdr:nvGraphicFramePr>
            <xdr:cNvPr id="7" name=" CITY STATUS">
              <a:extLst>
                <a:ext uri="{FF2B5EF4-FFF2-40B4-BE49-F238E27FC236}">
                  <a16:creationId xmlns:a16="http://schemas.microsoft.com/office/drawing/2014/main" id="{015249DA-752B-6033-E5F8-9A5A7B7F4C3D}"/>
                </a:ext>
              </a:extLst>
            </xdr:cNvPr>
            <xdr:cNvGraphicFramePr/>
          </xdr:nvGraphicFramePr>
          <xdr:xfrm>
            <a:off x="0" y="0"/>
            <a:ext cx="0" cy="0"/>
          </xdr:xfrm>
          <a:graphic>
            <a:graphicData uri="http://schemas.microsoft.com/office/drawing/2010/slicer">
              <sle:slicer xmlns:sle="http://schemas.microsoft.com/office/drawing/2010/slicer" name=" CITY STATUS"/>
            </a:graphicData>
          </a:graphic>
        </xdr:graphicFrame>
      </mc:Choice>
      <mc:Fallback xmlns="">
        <xdr:sp macro="" textlink="">
          <xdr:nvSpPr>
            <xdr:cNvPr id="0" name=""/>
            <xdr:cNvSpPr>
              <a:spLocks noTextEdit="1"/>
            </xdr:cNvSpPr>
          </xdr:nvSpPr>
          <xdr:spPr>
            <a:xfrm>
              <a:off x="6758940" y="502920"/>
              <a:ext cx="1828800" cy="3253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175260</xdr:colOff>
      <xdr:row>1</xdr:row>
      <xdr:rowOff>45720</xdr:rowOff>
    </xdr:from>
    <xdr:to>
      <xdr:col>17</xdr:col>
      <xdr:colOff>586740</xdr:colOff>
      <xdr:row>4</xdr:row>
      <xdr:rowOff>30480</xdr:rowOff>
    </xdr:to>
    <xdr:sp macro="" textlink="">
      <xdr:nvSpPr>
        <xdr:cNvPr id="8" name="Rectangle: Rounded Corners 7">
          <a:extLst>
            <a:ext uri="{FF2B5EF4-FFF2-40B4-BE49-F238E27FC236}">
              <a16:creationId xmlns:a16="http://schemas.microsoft.com/office/drawing/2014/main" id="{19468F86-E78F-4751-A743-7558A6479EBB}"/>
            </a:ext>
          </a:extLst>
        </xdr:cNvPr>
        <xdr:cNvSpPr/>
      </xdr:nvSpPr>
      <xdr:spPr>
        <a:xfrm>
          <a:off x="8709660" y="457200"/>
          <a:ext cx="2849880" cy="533400"/>
        </a:xfrm>
        <a:prstGeom prst="roundRect">
          <a:avLst/>
        </a:prstGeom>
        <a:solidFill>
          <a:schemeClr val="tx1"/>
        </a:solidFill>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2400" b="1">
              <a:solidFill>
                <a:schemeClr val="bg1"/>
              </a:solidFill>
              <a:latin typeface="+mn-lt"/>
            </a:rPr>
            <a:t>KEY</a:t>
          </a:r>
          <a:r>
            <a:rPr lang="en-IN" sz="2400" b="1" baseline="0">
              <a:solidFill>
                <a:schemeClr val="bg1"/>
              </a:solidFill>
              <a:latin typeface="+mn-lt"/>
            </a:rPr>
            <a:t> INSIGHTS</a:t>
          </a:r>
          <a:endParaRPr lang="en-IN" sz="2400" b="1">
            <a:solidFill>
              <a:schemeClr val="bg1"/>
            </a:solidFill>
            <a:latin typeface="+mn-lt"/>
          </a:endParaRPr>
        </a:p>
      </xdr:txBody>
    </xdr:sp>
    <xdr:clientData/>
  </xdr:twoCellAnchor>
  <xdr:twoCellAnchor>
    <xdr:from>
      <xdr:col>13</xdr:col>
      <xdr:colOff>106680</xdr:colOff>
      <xdr:row>4</xdr:row>
      <xdr:rowOff>68580</xdr:rowOff>
    </xdr:from>
    <xdr:to>
      <xdr:col>18</xdr:col>
      <xdr:colOff>45720</xdr:colOff>
      <xdr:row>23</xdr:row>
      <xdr:rowOff>53340</xdr:rowOff>
    </xdr:to>
    <xdr:sp macro="" textlink="">
      <xdr:nvSpPr>
        <xdr:cNvPr id="9" name="Rectangle: Rounded Corners 8">
          <a:extLst>
            <a:ext uri="{FF2B5EF4-FFF2-40B4-BE49-F238E27FC236}">
              <a16:creationId xmlns:a16="http://schemas.microsoft.com/office/drawing/2014/main" id="{FE6B818D-68C4-4166-9E76-6356195995A2}"/>
            </a:ext>
          </a:extLst>
        </xdr:cNvPr>
        <xdr:cNvSpPr/>
      </xdr:nvSpPr>
      <xdr:spPr>
        <a:xfrm>
          <a:off x="8641080" y="1028700"/>
          <a:ext cx="2987040" cy="3459480"/>
        </a:xfrm>
        <a:prstGeom prst="roundRect">
          <a:avLst/>
        </a:prstGeom>
        <a:solidFill>
          <a:schemeClr val="tx1"/>
        </a:solidFill>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2400" b="1">
            <a:solidFill>
              <a:schemeClr val="dk1"/>
            </a:solidFill>
            <a:latin typeface="+mn-lt"/>
            <a:ea typeface="+mn-ea"/>
            <a:cs typeface="+mn-cs"/>
          </a:endParaRPr>
        </a:p>
      </xdr:txBody>
    </xdr:sp>
    <xdr:clientData/>
  </xdr:twoCellAnchor>
  <xdr:twoCellAnchor>
    <xdr:from>
      <xdr:col>13</xdr:col>
      <xdr:colOff>320040</xdr:colOff>
      <xdr:row>5</xdr:row>
      <xdr:rowOff>30480</xdr:rowOff>
    </xdr:from>
    <xdr:to>
      <xdr:col>17</xdr:col>
      <xdr:colOff>396240</xdr:colOff>
      <xdr:row>22</xdr:row>
      <xdr:rowOff>99060</xdr:rowOff>
    </xdr:to>
    <xdr:sp macro="" textlink="">
      <xdr:nvSpPr>
        <xdr:cNvPr id="10" name="Rectangle 9">
          <a:extLst>
            <a:ext uri="{FF2B5EF4-FFF2-40B4-BE49-F238E27FC236}">
              <a16:creationId xmlns:a16="http://schemas.microsoft.com/office/drawing/2014/main" id="{1FAB875B-9416-46F1-DFCB-0B5D3373DFC5}"/>
            </a:ext>
          </a:extLst>
        </xdr:cNvPr>
        <xdr:cNvSpPr/>
      </xdr:nvSpPr>
      <xdr:spPr>
        <a:xfrm>
          <a:off x="8854440" y="1325880"/>
          <a:ext cx="2514600" cy="3177540"/>
        </a:xfrm>
        <a:prstGeom prst="rect">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171450" indent="-171450" algn="l">
            <a:buFont typeface="Wingdings" panose="05000000000000000000" pitchFamily="2" charset="2"/>
            <a:buChar char="Ø"/>
          </a:pPr>
          <a:r>
            <a:rPr lang="en-IN" sz="1100">
              <a:solidFill>
                <a:schemeClr val="bg1"/>
              </a:solidFill>
              <a:latin typeface="Bebas Neue" panose="020B0606020202050201" pitchFamily="34" charset="0"/>
              <a:cs typeface="Times New Roman" panose="02020603050405020304" pitchFamily="18" charset="0"/>
            </a:rPr>
            <a:t>Delivered orders accounted for 74.3% of total orders (104 out of 140), indicating a strong order fulfillment rate.</a:t>
          </a:r>
        </a:p>
        <a:p>
          <a:pPr marL="171450" indent="-171450" algn="l">
            <a:buFont typeface="Wingdings" panose="05000000000000000000" pitchFamily="2" charset="2"/>
            <a:buChar char="Ø"/>
          </a:pPr>
          <a:r>
            <a:rPr lang="en-IN" sz="1100">
              <a:solidFill>
                <a:schemeClr val="bg1"/>
              </a:solidFill>
              <a:latin typeface="Bebas Neue" panose="020B0606020202050201" pitchFamily="34" charset="0"/>
              <a:cs typeface="Times New Roman" panose="02020603050405020304" pitchFamily="18" charset="0"/>
            </a:rPr>
            <a:t> 15.0% of orders (21 orders) were in the shipped stage, showing active deliveries in transit.</a:t>
          </a:r>
        </a:p>
        <a:p>
          <a:pPr marL="171450" indent="-171450" algn="l">
            <a:buFont typeface="Wingdings" panose="05000000000000000000" pitchFamily="2" charset="2"/>
            <a:buChar char="Ø"/>
          </a:pPr>
          <a:r>
            <a:rPr lang="en-IN" sz="1100">
              <a:solidFill>
                <a:schemeClr val="bg1"/>
              </a:solidFill>
              <a:latin typeface="Bebas Neue" panose="020B0606020202050201" pitchFamily="34" charset="0"/>
              <a:cs typeface="Times New Roman" panose="02020603050405020304" pitchFamily="18" charset="0"/>
            </a:rPr>
            <a:t> Only 10.7% of orders (15 orders) remained in processing, suggesting efficient order handling and dispatch operations.</a:t>
          </a:r>
        </a:p>
        <a:p>
          <a:pPr marL="171450" indent="-171450" algn="l">
            <a:buFont typeface="Wingdings" panose="05000000000000000000" pitchFamily="2" charset="2"/>
            <a:buChar char="Ø"/>
          </a:pPr>
          <a:r>
            <a:rPr lang="en-IN" sz="1100">
              <a:solidFill>
                <a:schemeClr val="bg1"/>
              </a:solidFill>
              <a:latin typeface="Bebas Neue" panose="020B0606020202050201" pitchFamily="34" charset="0"/>
              <a:cs typeface="Times New Roman" panose="02020603050405020304" pitchFamily="18" charset="0"/>
            </a:rPr>
            <a:t> More than three-fourths of all orders were successfully delivered, reflecting effective logistics and fulfillment performance.</a:t>
          </a:r>
        </a:p>
        <a:p>
          <a:pPr marL="171450" indent="-171450" algn="l">
            <a:buFont typeface="Wingdings" panose="05000000000000000000" pitchFamily="2" charset="2"/>
            <a:buChar char="Ø"/>
          </a:pPr>
          <a:r>
            <a:rPr lang="en-IN" sz="1100">
              <a:solidFill>
                <a:schemeClr val="bg1"/>
              </a:solidFill>
              <a:latin typeface="Bebas Neue" panose="020B0606020202050201" pitchFamily="34" charset="0"/>
              <a:cs typeface="Times New Roman" panose="02020603050405020304" pitchFamily="18" charset="0"/>
            </a:rPr>
            <a:t>The low proportion of processing orders indicates minimal operational backlog and timely order management</a:t>
          </a:r>
          <a:r>
            <a:rPr lang="en-IN" sz="1100">
              <a:latin typeface="Bebas Neue" panose="020B0606020202050201" pitchFamily="34" charset="0"/>
              <a:cs typeface="Times New Roman" panose="02020603050405020304" pitchFamily="18" charset="0"/>
            </a:rPr>
            <a:t>.</a:t>
          </a:r>
        </a:p>
      </xdr:txBody>
    </xdr:sp>
    <xdr:clientData/>
  </xdr:twoCellAnchor>
  <xdr:twoCellAnchor>
    <xdr:from>
      <xdr:col>0</xdr:col>
      <xdr:colOff>0</xdr:colOff>
      <xdr:row>1</xdr:row>
      <xdr:rowOff>45720</xdr:rowOff>
    </xdr:from>
    <xdr:to>
      <xdr:col>19</xdr:col>
      <xdr:colOff>1813560</xdr:colOff>
      <xdr:row>1</xdr:row>
      <xdr:rowOff>60960</xdr:rowOff>
    </xdr:to>
    <xdr:cxnSp macro="">
      <xdr:nvCxnSpPr>
        <xdr:cNvPr id="4" name="Straight Connector 3">
          <a:extLst>
            <a:ext uri="{FF2B5EF4-FFF2-40B4-BE49-F238E27FC236}">
              <a16:creationId xmlns:a16="http://schemas.microsoft.com/office/drawing/2014/main" id="{0328235C-81B0-FE10-FA8F-98E5B7CFFA9F}"/>
            </a:ext>
          </a:extLst>
        </xdr:cNvPr>
        <xdr:cNvCxnSpPr/>
      </xdr:nvCxnSpPr>
      <xdr:spPr>
        <a:xfrm>
          <a:off x="0" y="457200"/>
          <a:ext cx="14005560" cy="1524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83820</xdr:colOff>
      <xdr:row>0</xdr:row>
      <xdr:rowOff>7620</xdr:rowOff>
    </xdr:from>
    <xdr:to>
      <xdr:col>1</xdr:col>
      <xdr:colOff>327660</xdr:colOff>
      <xdr:row>0</xdr:row>
      <xdr:rowOff>556260</xdr:rowOff>
    </xdr:to>
    <xdr:sp macro="" textlink="">
      <xdr:nvSpPr>
        <xdr:cNvPr id="3" name="Rectangle: Rounded Corners 2">
          <a:extLst>
            <a:ext uri="{FF2B5EF4-FFF2-40B4-BE49-F238E27FC236}">
              <a16:creationId xmlns:a16="http://schemas.microsoft.com/office/drawing/2014/main" id="{5DB81C90-A1D4-4E33-9583-2AC7A62C9E6C}"/>
            </a:ext>
          </a:extLst>
        </xdr:cNvPr>
        <xdr:cNvSpPr/>
      </xdr:nvSpPr>
      <xdr:spPr>
        <a:xfrm>
          <a:off x="83820" y="7620"/>
          <a:ext cx="1082040" cy="548640"/>
        </a:xfrm>
        <a:prstGeom prst="roundRect">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chemeClr val="tx1"/>
              </a:solidFill>
              <a:latin typeface="Crimson Pro" pitchFamily="2" charset="0"/>
              <a:ea typeface="+mn-ea"/>
              <a:cs typeface="+mn-cs"/>
            </a:rPr>
            <a:t>PIVOT TABLES -06</a:t>
          </a:r>
        </a:p>
      </xdr:txBody>
    </xdr:sp>
    <xdr:clientData/>
  </xdr:twoCellAnchor>
  <xdr:twoCellAnchor>
    <xdr:from>
      <xdr:col>19</xdr:col>
      <xdr:colOff>647700</xdr:colOff>
      <xdr:row>0</xdr:row>
      <xdr:rowOff>45720</xdr:rowOff>
    </xdr:from>
    <xdr:to>
      <xdr:col>19</xdr:col>
      <xdr:colOff>1752600</xdr:colOff>
      <xdr:row>0</xdr:row>
      <xdr:rowOff>518160</xdr:rowOff>
    </xdr:to>
    <xdr:sp macro="" textlink="">
      <xdr:nvSpPr>
        <xdr:cNvPr id="5" name="Oval 4">
          <a:extLst>
            <a:ext uri="{FF2B5EF4-FFF2-40B4-BE49-F238E27FC236}">
              <a16:creationId xmlns:a16="http://schemas.microsoft.com/office/drawing/2014/main" id="{4770EC9B-07F0-4CF5-835B-8DE24C306BD9}"/>
            </a:ext>
          </a:extLst>
        </xdr:cNvPr>
        <xdr:cNvSpPr/>
      </xdr:nvSpPr>
      <xdr:spPr>
        <a:xfrm>
          <a:off x="12839700" y="45720"/>
          <a:ext cx="1104900" cy="472440"/>
        </a:xfrm>
        <a:prstGeom prst="ellipse">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Crimson Pro" pitchFamily="2" charset="0"/>
            </a:rPr>
            <a:t>SHEET</a:t>
          </a:r>
          <a:r>
            <a:rPr lang="en-IN" sz="1100" b="1" baseline="0">
              <a:solidFill>
                <a:schemeClr val="tx1"/>
              </a:solidFill>
              <a:latin typeface="Crimson Pro" pitchFamily="2" charset="0"/>
            </a:rPr>
            <a:t> </a:t>
          </a:r>
          <a:r>
            <a:rPr lang="en-IN" sz="1100" b="1">
              <a:solidFill>
                <a:schemeClr val="tx1"/>
              </a:solidFill>
              <a:latin typeface="Crimson Pro" pitchFamily="2" charset="0"/>
            </a:rPr>
            <a:t>06</a:t>
          </a:r>
        </a:p>
        <a:p>
          <a:pPr algn="l"/>
          <a:r>
            <a:rPr lang="en-IN" sz="1100" b="1">
              <a:solidFill>
                <a:schemeClr val="tx1"/>
              </a:solidFill>
              <a:latin typeface="Crimson Pro" pitchFamily="2" charset="0"/>
            </a:rPr>
            <a:t> </a:t>
          </a:r>
        </a:p>
      </xdr:txBody>
    </xdr:sp>
    <xdr:clientData/>
  </xdr:twoCellAnchor>
  <xdr:twoCellAnchor>
    <xdr:from>
      <xdr:col>4</xdr:col>
      <xdr:colOff>411480</xdr:colOff>
      <xdr:row>0</xdr:row>
      <xdr:rowOff>83820</xdr:rowOff>
    </xdr:from>
    <xdr:to>
      <xdr:col>4</xdr:col>
      <xdr:colOff>548640</xdr:colOff>
      <xdr:row>0</xdr:row>
      <xdr:rowOff>487680</xdr:rowOff>
    </xdr:to>
    <xdr:sp macro="" textlink="">
      <xdr:nvSpPr>
        <xdr:cNvPr id="11" name="Rectangle: Rounded Corners 10">
          <a:extLst>
            <a:ext uri="{FF2B5EF4-FFF2-40B4-BE49-F238E27FC236}">
              <a16:creationId xmlns:a16="http://schemas.microsoft.com/office/drawing/2014/main" id="{BB197ED5-E751-44FB-9250-6D3E6E29B138}"/>
            </a:ext>
          </a:extLst>
        </xdr:cNvPr>
        <xdr:cNvSpPr/>
      </xdr:nvSpPr>
      <xdr:spPr>
        <a:xfrm>
          <a:off x="3459480" y="83820"/>
          <a:ext cx="137160" cy="403860"/>
        </a:xfrm>
        <a:prstGeom prst="roundRect">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76200</xdr:colOff>
      <xdr:row>0</xdr:row>
      <xdr:rowOff>114300</xdr:rowOff>
    </xdr:from>
    <xdr:to>
      <xdr:col>15</xdr:col>
      <xdr:colOff>190500</xdr:colOff>
      <xdr:row>0</xdr:row>
      <xdr:rowOff>525780</xdr:rowOff>
    </xdr:to>
    <xdr:sp macro="" textlink="">
      <xdr:nvSpPr>
        <xdr:cNvPr id="12" name="Rectangle: Rounded Corners 11">
          <a:extLst>
            <a:ext uri="{FF2B5EF4-FFF2-40B4-BE49-F238E27FC236}">
              <a16:creationId xmlns:a16="http://schemas.microsoft.com/office/drawing/2014/main" id="{3A402430-1AB0-4180-8F5B-7F6D6DE6EAC1}"/>
            </a:ext>
          </a:extLst>
        </xdr:cNvPr>
        <xdr:cNvSpPr/>
      </xdr:nvSpPr>
      <xdr:spPr>
        <a:xfrm>
          <a:off x="9829800" y="114300"/>
          <a:ext cx="114300" cy="4114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7620</xdr:rowOff>
    </xdr:from>
    <xdr:to>
      <xdr:col>1</xdr:col>
      <xdr:colOff>937260</xdr:colOff>
      <xdr:row>3</xdr:row>
      <xdr:rowOff>7620</xdr:rowOff>
    </xdr:to>
    <xdr:cxnSp macro="">
      <xdr:nvCxnSpPr>
        <xdr:cNvPr id="13" name="Straight Connector 12">
          <a:extLst>
            <a:ext uri="{FF2B5EF4-FFF2-40B4-BE49-F238E27FC236}">
              <a16:creationId xmlns:a16="http://schemas.microsoft.com/office/drawing/2014/main" id="{67D4BBE8-2F89-440A-AF81-8620F3F80E9E}"/>
            </a:ext>
          </a:extLst>
        </xdr:cNvPr>
        <xdr:cNvCxnSpPr/>
      </xdr:nvCxnSpPr>
      <xdr:spPr>
        <a:xfrm>
          <a:off x="0" y="937260"/>
          <a:ext cx="1775460" cy="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38100</xdr:colOff>
      <xdr:row>2</xdr:row>
      <xdr:rowOff>15240</xdr:rowOff>
    </xdr:from>
    <xdr:to>
      <xdr:col>2</xdr:col>
      <xdr:colOff>15240</xdr:colOff>
      <xdr:row>2</xdr:row>
      <xdr:rowOff>22860</xdr:rowOff>
    </xdr:to>
    <xdr:cxnSp macro="">
      <xdr:nvCxnSpPr>
        <xdr:cNvPr id="16" name="Straight Connector 15">
          <a:extLst>
            <a:ext uri="{FF2B5EF4-FFF2-40B4-BE49-F238E27FC236}">
              <a16:creationId xmlns:a16="http://schemas.microsoft.com/office/drawing/2014/main" id="{A1DF56A4-7AB5-4CF0-B822-4EADC8852FA5}"/>
            </a:ext>
          </a:extLst>
        </xdr:cNvPr>
        <xdr:cNvCxnSpPr/>
      </xdr:nvCxnSpPr>
      <xdr:spPr>
        <a:xfrm>
          <a:off x="38100" y="762000"/>
          <a:ext cx="1805940" cy="762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7620</xdr:colOff>
      <xdr:row>2</xdr:row>
      <xdr:rowOff>22860</xdr:rowOff>
    </xdr:from>
    <xdr:to>
      <xdr:col>2</xdr:col>
      <xdr:colOff>15240</xdr:colOff>
      <xdr:row>7</xdr:row>
      <xdr:rowOff>53340</xdr:rowOff>
    </xdr:to>
    <xdr:cxnSp macro="">
      <xdr:nvCxnSpPr>
        <xdr:cNvPr id="18" name="Straight Connector 17">
          <a:extLst>
            <a:ext uri="{FF2B5EF4-FFF2-40B4-BE49-F238E27FC236}">
              <a16:creationId xmlns:a16="http://schemas.microsoft.com/office/drawing/2014/main" id="{D54B3640-4057-4BEC-AD0C-3483DA09E83F}"/>
            </a:ext>
          </a:extLst>
        </xdr:cNvPr>
        <xdr:cNvCxnSpPr/>
      </xdr:nvCxnSpPr>
      <xdr:spPr>
        <a:xfrm>
          <a:off x="1836420" y="769620"/>
          <a:ext cx="7620" cy="94488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548640</xdr:colOff>
      <xdr:row>0</xdr:row>
      <xdr:rowOff>0</xdr:rowOff>
    </xdr:from>
    <xdr:to>
      <xdr:col>4</xdr:col>
      <xdr:colOff>91440</xdr:colOff>
      <xdr:row>1</xdr:row>
      <xdr:rowOff>22860</xdr:rowOff>
    </xdr:to>
    <xdr:pic>
      <xdr:nvPicPr>
        <xdr:cNvPr id="4" name="Graphic 3" descr="Star with solid fill">
          <a:extLst>
            <a:ext uri="{FF2B5EF4-FFF2-40B4-BE49-F238E27FC236}">
              <a16:creationId xmlns:a16="http://schemas.microsoft.com/office/drawing/2014/main" id="{581303E4-2DB7-1E7E-DBBB-1FAF4E7AE7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75760" y="0"/>
          <a:ext cx="510540" cy="434340"/>
        </a:xfrm>
        <a:prstGeom prst="rect">
          <a:avLst/>
        </a:prstGeom>
      </xdr:spPr>
    </xdr:pic>
    <xdr:clientData/>
  </xdr:twoCellAnchor>
  <xdr:twoCellAnchor editAs="oneCell">
    <xdr:from>
      <xdr:col>11</xdr:col>
      <xdr:colOff>411480</xdr:colOff>
      <xdr:row>3</xdr:row>
      <xdr:rowOff>175260</xdr:rowOff>
    </xdr:from>
    <xdr:to>
      <xdr:col>14</xdr:col>
      <xdr:colOff>304800</xdr:colOff>
      <xdr:row>19</xdr:row>
      <xdr:rowOff>160020</xdr:rowOff>
    </xdr:to>
    <mc:AlternateContent xmlns:mc="http://schemas.openxmlformats.org/markup-compatibility/2006" xmlns:a14="http://schemas.microsoft.com/office/drawing/2010/main">
      <mc:Choice Requires="a14">
        <xdr:graphicFrame macro="">
          <xdr:nvGraphicFramePr>
            <xdr:cNvPr id="6" name=" CITY WISE">
              <a:extLst>
                <a:ext uri="{FF2B5EF4-FFF2-40B4-BE49-F238E27FC236}">
                  <a16:creationId xmlns:a16="http://schemas.microsoft.com/office/drawing/2014/main" id="{493B56DD-31D6-CC6E-885E-B4C29F81B0A2}"/>
                </a:ext>
              </a:extLst>
            </xdr:cNvPr>
            <xdr:cNvGraphicFramePr/>
          </xdr:nvGraphicFramePr>
          <xdr:xfrm>
            <a:off x="0" y="0"/>
            <a:ext cx="0" cy="0"/>
          </xdr:xfrm>
          <a:graphic>
            <a:graphicData uri="http://schemas.microsoft.com/office/drawing/2010/slicer">
              <sle:slicer xmlns:sle="http://schemas.microsoft.com/office/drawing/2010/slicer" name=" CITY WISE"/>
            </a:graphicData>
          </a:graphic>
        </xdr:graphicFrame>
      </mc:Choice>
      <mc:Fallback xmlns="">
        <xdr:sp macro="" textlink="">
          <xdr:nvSpPr>
            <xdr:cNvPr id="0" name=""/>
            <xdr:cNvSpPr>
              <a:spLocks noTextEdit="1"/>
            </xdr:cNvSpPr>
          </xdr:nvSpPr>
          <xdr:spPr>
            <a:xfrm>
              <a:off x="9273540" y="952500"/>
              <a:ext cx="1722120" cy="2910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381000</xdr:colOff>
      <xdr:row>4</xdr:row>
      <xdr:rowOff>91440</xdr:rowOff>
    </xdr:from>
    <xdr:to>
      <xdr:col>19</xdr:col>
      <xdr:colOff>160020</xdr:colOff>
      <xdr:row>7</xdr:row>
      <xdr:rowOff>15240</xdr:rowOff>
    </xdr:to>
    <xdr:sp macro="" textlink="">
      <xdr:nvSpPr>
        <xdr:cNvPr id="7" name="Rectangle: Rounded Corners 6">
          <a:extLst>
            <a:ext uri="{FF2B5EF4-FFF2-40B4-BE49-F238E27FC236}">
              <a16:creationId xmlns:a16="http://schemas.microsoft.com/office/drawing/2014/main" id="{E90CB9A2-E4B0-4E1F-95CD-E49437C8A48B}"/>
            </a:ext>
          </a:extLst>
        </xdr:cNvPr>
        <xdr:cNvSpPr/>
      </xdr:nvSpPr>
      <xdr:spPr>
        <a:xfrm>
          <a:off x="11071860" y="1051560"/>
          <a:ext cx="2827020" cy="472440"/>
        </a:xfrm>
        <a:prstGeom prst="roundRect">
          <a:avLst/>
        </a:prstGeom>
        <a:solidFill>
          <a:schemeClr val="tx1"/>
        </a:solidFill>
        <a:ln>
          <a:solidFill>
            <a:srgbClr val="FFC000"/>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2400" b="1">
              <a:solidFill>
                <a:schemeClr val="bg1"/>
              </a:solidFill>
              <a:latin typeface="+mn-lt"/>
            </a:rPr>
            <a:t>KEY</a:t>
          </a:r>
          <a:r>
            <a:rPr lang="en-IN" sz="2400" b="1" baseline="0">
              <a:solidFill>
                <a:schemeClr val="bg1"/>
              </a:solidFill>
              <a:latin typeface="+mn-lt"/>
            </a:rPr>
            <a:t> INSIGHTS</a:t>
          </a:r>
          <a:endParaRPr lang="en-IN" sz="2400" b="1">
            <a:solidFill>
              <a:schemeClr val="bg1"/>
            </a:solidFill>
            <a:latin typeface="+mn-lt"/>
          </a:endParaRPr>
        </a:p>
      </xdr:txBody>
    </xdr:sp>
    <xdr:clientData/>
  </xdr:twoCellAnchor>
  <xdr:twoCellAnchor>
    <xdr:from>
      <xdr:col>14</xdr:col>
      <xdr:colOff>350520</xdr:colOff>
      <xdr:row>7</xdr:row>
      <xdr:rowOff>106680</xdr:rowOff>
    </xdr:from>
    <xdr:to>
      <xdr:col>19</xdr:col>
      <xdr:colOff>289560</xdr:colOff>
      <xdr:row>22</xdr:row>
      <xdr:rowOff>160020</xdr:rowOff>
    </xdr:to>
    <xdr:sp macro="" textlink="">
      <xdr:nvSpPr>
        <xdr:cNvPr id="8" name="Rectangle: Rounded Corners 7">
          <a:extLst>
            <a:ext uri="{FF2B5EF4-FFF2-40B4-BE49-F238E27FC236}">
              <a16:creationId xmlns:a16="http://schemas.microsoft.com/office/drawing/2014/main" id="{E0C0981A-1DAD-4175-A6D5-19919C019D4B}"/>
            </a:ext>
          </a:extLst>
        </xdr:cNvPr>
        <xdr:cNvSpPr/>
      </xdr:nvSpPr>
      <xdr:spPr>
        <a:xfrm>
          <a:off x="11041380" y="1615440"/>
          <a:ext cx="2987040" cy="2796540"/>
        </a:xfrm>
        <a:prstGeom prst="roundRect">
          <a:avLst/>
        </a:prstGeom>
        <a:solidFill>
          <a:schemeClr val="tx1"/>
        </a:solidFill>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2400" b="1">
            <a:solidFill>
              <a:schemeClr val="dk1"/>
            </a:solidFill>
            <a:latin typeface="+mn-lt"/>
            <a:ea typeface="+mn-ea"/>
            <a:cs typeface="+mn-cs"/>
          </a:endParaRPr>
        </a:p>
      </xdr:txBody>
    </xdr:sp>
    <xdr:clientData/>
  </xdr:twoCellAnchor>
  <xdr:twoCellAnchor>
    <xdr:from>
      <xdr:col>14</xdr:col>
      <xdr:colOff>601980</xdr:colOff>
      <xdr:row>8</xdr:row>
      <xdr:rowOff>15240</xdr:rowOff>
    </xdr:from>
    <xdr:to>
      <xdr:col>18</xdr:col>
      <xdr:colOff>548640</xdr:colOff>
      <xdr:row>21</xdr:row>
      <xdr:rowOff>76200</xdr:rowOff>
    </xdr:to>
    <xdr:sp macro="" textlink="">
      <xdr:nvSpPr>
        <xdr:cNvPr id="9" name="Rectangle 8">
          <a:extLst>
            <a:ext uri="{FF2B5EF4-FFF2-40B4-BE49-F238E27FC236}">
              <a16:creationId xmlns:a16="http://schemas.microsoft.com/office/drawing/2014/main" id="{8F350A75-8E46-06C5-6B54-D3DEAF02B1F3}"/>
            </a:ext>
          </a:extLst>
        </xdr:cNvPr>
        <xdr:cNvSpPr/>
      </xdr:nvSpPr>
      <xdr:spPr>
        <a:xfrm>
          <a:off x="11292840" y="1706880"/>
          <a:ext cx="2385060" cy="2438400"/>
        </a:xfrm>
        <a:prstGeom prst="rect">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171450" indent="-171450" algn="l">
            <a:buFont typeface="Wingdings" panose="05000000000000000000" pitchFamily="2" charset="2"/>
            <a:buChar char="Ø"/>
          </a:pPr>
          <a:r>
            <a:rPr lang="en-IN" sz="1050">
              <a:solidFill>
                <a:schemeClr val="bg1"/>
              </a:solidFill>
              <a:latin typeface="Bebas Neue" panose="020B0606020202050201" pitchFamily="34" charset="0"/>
            </a:rPr>
            <a:t> </a:t>
          </a:r>
          <a:r>
            <a:rPr lang="en-IN" sz="1050">
              <a:solidFill>
                <a:schemeClr val="bg1"/>
              </a:solidFill>
              <a:latin typeface="Bebas Neue" panose="020B0606020202050201" pitchFamily="34" charset="0"/>
              <a:cs typeface="Times New Roman" panose="02020603050405020304" pitchFamily="18" charset="0"/>
            </a:rPr>
            <a:t>Floral-Dress, Cotton-Kurti, and Denim-Jacket recorded the highest Sell Through Rate (60%).</a:t>
          </a:r>
        </a:p>
        <a:p>
          <a:pPr marL="171450" indent="-171450" algn="l">
            <a:buFont typeface="Wingdings" panose="05000000000000000000" pitchFamily="2" charset="2"/>
            <a:buChar char="Ø"/>
          </a:pPr>
          <a:r>
            <a:rPr lang="en-IN" sz="1050">
              <a:solidFill>
                <a:schemeClr val="bg1"/>
              </a:solidFill>
              <a:latin typeface="Bebas Neue" panose="020B0606020202050201" pitchFamily="34" charset="0"/>
              <a:cs typeface="Times New Roman" panose="02020603050405020304" pitchFamily="18" charset="0"/>
            </a:rPr>
            <a:t>Blazer showed strong performance with a 55.56% Sell Through Rate.</a:t>
          </a:r>
        </a:p>
        <a:p>
          <a:pPr marL="171450" indent="-171450" algn="l">
            <a:buFont typeface="Wingdings" panose="05000000000000000000" pitchFamily="2" charset="2"/>
            <a:buChar char="Ø"/>
          </a:pPr>
          <a:r>
            <a:rPr lang="en-IN" sz="1050">
              <a:solidFill>
                <a:schemeClr val="bg1"/>
              </a:solidFill>
              <a:latin typeface="Bebas Neue" panose="020B0606020202050201" pitchFamily="34" charset="0"/>
              <a:cs typeface="Times New Roman" panose="02020603050405020304" pitchFamily="18" charset="0"/>
            </a:rPr>
            <a:t>Formal-Shirt had the lowest Sell Through Rate (21.73%).</a:t>
          </a:r>
        </a:p>
        <a:p>
          <a:pPr marL="171450" indent="-171450" algn="l">
            <a:buFont typeface="Wingdings" panose="05000000000000000000" pitchFamily="2" charset="2"/>
            <a:buChar char="Ø"/>
          </a:pPr>
          <a:r>
            <a:rPr lang="en-IN" sz="1050">
              <a:solidFill>
                <a:schemeClr val="bg1"/>
              </a:solidFill>
              <a:latin typeface="Bebas Neue" panose="020B0606020202050201" pitchFamily="34" charset="0"/>
              <a:cs typeface="Times New Roman" panose="02020603050405020304" pitchFamily="18" charset="0"/>
            </a:rPr>
            <a:t>Most categories achieved a Sell Through Rate between 25%–45%, indicating moderate sales performance.</a:t>
          </a:r>
        </a:p>
        <a:p>
          <a:pPr marL="171450" indent="-171450" algn="l">
            <a:buFont typeface="Wingdings" panose="05000000000000000000" pitchFamily="2" charset="2"/>
            <a:buChar char="Ø"/>
          </a:pPr>
          <a:r>
            <a:rPr lang="en-IN" sz="1050">
              <a:solidFill>
                <a:schemeClr val="bg1"/>
              </a:solidFill>
              <a:latin typeface="Bebas Neue" panose="020B0606020202050201" pitchFamily="34" charset="0"/>
              <a:cs typeface="Times New Roman" panose="02020603050405020304" pitchFamily="18" charset="0"/>
            </a:rPr>
            <a:t>Customer demand was stronger for ethnic and fashion wear compared to formal wear.</a:t>
          </a:r>
        </a:p>
      </xdr:txBody>
    </xdr:sp>
    <xdr:clientData/>
  </xdr:twoCellAnchor>
  <xdr:twoCellAnchor>
    <xdr:from>
      <xdr:col>2</xdr:col>
      <xdr:colOff>121920</xdr:colOff>
      <xdr:row>2</xdr:row>
      <xdr:rowOff>45720</xdr:rowOff>
    </xdr:from>
    <xdr:to>
      <xdr:col>11</xdr:col>
      <xdr:colOff>350520</xdr:colOff>
      <xdr:row>28</xdr:row>
      <xdr:rowOff>22860</xdr:rowOff>
    </xdr:to>
    <xdr:graphicFrame macro="">
      <xdr:nvGraphicFramePr>
        <xdr:cNvPr id="3" name="Chart 2">
          <a:extLst>
            <a:ext uri="{FF2B5EF4-FFF2-40B4-BE49-F238E27FC236}">
              <a16:creationId xmlns:a16="http://schemas.microsoft.com/office/drawing/2014/main" id="{4BBFE9D3-74D1-90AC-9B78-B826DDCA0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1</xdr:row>
      <xdr:rowOff>38100</xdr:rowOff>
    </xdr:from>
    <xdr:to>
      <xdr:col>19</xdr:col>
      <xdr:colOff>525780</xdr:colOff>
      <xdr:row>1</xdr:row>
      <xdr:rowOff>106680</xdr:rowOff>
    </xdr:to>
    <xdr:cxnSp macro="">
      <xdr:nvCxnSpPr>
        <xdr:cNvPr id="5" name="Straight Connector 4">
          <a:extLst>
            <a:ext uri="{FF2B5EF4-FFF2-40B4-BE49-F238E27FC236}">
              <a16:creationId xmlns:a16="http://schemas.microsoft.com/office/drawing/2014/main" id="{23A91B9B-742B-5809-82C3-2FF3044385E3}"/>
            </a:ext>
          </a:extLst>
        </xdr:cNvPr>
        <xdr:cNvCxnSpPr/>
      </xdr:nvCxnSpPr>
      <xdr:spPr>
        <a:xfrm flipV="1">
          <a:off x="22860" y="449580"/>
          <a:ext cx="14241780" cy="6858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0</xdr:row>
      <xdr:rowOff>0</xdr:rowOff>
    </xdr:from>
    <xdr:to>
      <xdr:col>1</xdr:col>
      <xdr:colOff>53340</xdr:colOff>
      <xdr:row>1</xdr:row>
      <xdr:rowOff>45720</xdr:rowOff>
    </xdr:to>
    <xdr:sp macro="" textlink="">
      <xdr:nvSpPr>
        <xdr:cNvPr id="2" name="Rectangle: Rounded Corners 1">
          <a:extLst>
            <a:ext uri="{FF2B5EF4-FFF2-40B4-BE49-F238E27FC236}">
              <a16:creationId xmlns:a16="http://schemas.microsoft.com/office/drawing/2014/main" id="{1DACA0A5-6F54-4537-BE9E-413D148F6D4E}"/>
            </a:ext>
          </a:extLst>
        </xdr:cNvPr>
        <xdr:cNvSpPr/>
      </xdr:nvSpPr>
      <xdr:spPr>
        <a:xfrm>
          <a:off x="0" y="0"/>
          <a:ext cx="1028700" cy="457200"/>
        </a:xfrm>
        <a:prstGeom prst="roundRect">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chemeClr val="tx1"/>
              </a:solidFill>
              <a:latin typeface="Crimson Pro" pitchFamily="2" charset="0"/>
              <a:ea typeface="+mn-ea"/>
              <a:cs typeface="+mn-cs"/>
            </a:rPr>
            <a:t>PIVOT TABLES -07</a:t>
          </a:r>
        </a:p>
      </xdr:txBody>
    </xdr:sp>
    <xdr:clientData/>
  </xdr:twoCellAnchor>
  <xdr:twoCellAnchor>
    <xdr:from>
      <xdr:col>17</xdr:col>
      <xdr:colOff>541020</xdr:colOff>
      <xdr:row>0</xdr:row>
      <xdr:rowOff>0</xdr:rowOff>
    </xdr:from>
    <xdr:to>
      <xdr:col>19</xdr:col>
      <xdr:colOff>426720</xdr:colOff>
      <xdr:row>1</xdr:row>
      <xdr:rowOff>60960</xdr:rowOff>
    </xdr:to>
    <xdr:sp macro="" textlink="">
      <xdr:nvSpPr>
        <xdr:cNvPr id="10" name="Oval 9">
          <a:extLst>
            <a:ext uri="{FF2B5EF4-FFF2-40B4-BE49-F238E27FC236}">
              <a16:creationId xmlns:a16="http://schemas.microsoft.com/office/drawing/2014/main" id="{646CA4A3-DBA8-4549-A126-E1C4467F5C18}"/>
            </a:ext>
          </a:extLst>
        </xdr:cNvPr>
        <xdr:cNvSpPr/>
      </xdr:nvSpPr>
      <xdr:spPr>
        <a:xfrm>
          <a:off x="13060680" y="0"/>
          <a:ext cx="1104900" cy="472440"/>
        </a:xfrm>
        <a:prstGeom prst="ellipse">
          <a:avLst/>
        </a:prstGeom>
        <a:solidFill>
          <a:srgbClr val="FFC000"/>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Crimson Pro" pitchFamily="2" charset="0"/>
            </a:rPr>
            <a:t>SHEET</a:t>
          </a:r>
          <a:r>
            <a:rPr lang="en-IN" sz="1100" b="1" baseline="0">
              <a:solidFill>
                <a:schemeClr val="tx1"/>
              </a:solidFill>
              <a:latin typeface="Crimson Pro" pitchFamily="2" charset="0"/>
            </a:rPr>
            <a:t> </a:t>
          </a:r>
          <a:r>
            <a:rPr lang="en-IN" sz="1100" b="1">
              <a:solidFill>
                <a:schemeClr val="tx1"/>
              </a:solidFill>
              <a:latin typeface="Crimson Pro" pitchFamily="2" charset="0"/>
            </a:rPr>
            <a:t>07</a:t>
          </a:r>
        </a:p>
        <a:p>
          <a:pPr algn="l"/>
          <a:r>
            <a:rPr lang="en-IN" sz="1100" b="1">
              <a:solidFill>
                <a:schemeClr val="tx1"/>
              </a:solidFill>
              <a:latin typeface="Crimson Pro" pitchFamily="2" charset="0"/>
            </a:rPr>
            <a:t> </a:t>
          </a:r>
        </a:p>
      </xdr:txBody>
    </xdr:sp>
    <xdr:clientData/>
  </xdr:twoCellAnchor>
  <xdr:twoCellAnchor>
    <xdr:from>
      <xdr:col>3</xdr:col>
      <xdr:colOff>495300</xdr:colOff>
      <xdr:row>0</xdr:row>
      <xdr:rowOff>15240</xdr:rowOff>
    </xdr:from>
    <xdr:to>
      <xdr:col>3</xdr:col>
      <xdr:colOff>632460</xdr:colOff>
      <xdr:row>1</xdr:row>
      <xdr:rowOff>7620</xdr:rowOff>
    </xdr:to>
    <xdr:sp macro="" textlink="">
      <xdr:nvSpPr>
        <xdr:cNvPr id="11" name="Rectangle: Rounded Corners 10">
          <a:extLst>
            <a:ext uri="{FF2B5EF4-FFF2-40B4-BE49-F238E27FC236}">
              <a16:creationId xmlns:a16="http://schemas.microsoft.com/office/drawing/2014/main" id="{38FE3E4D-058A-41EB-9FAD-6488822EA186}"/>
            </a:ext>
          </a:extLst>
        </xdr:cNvPr>
        <xdr:cNvSpPr/>
      </xdr:nvSpPr>
      <xdr:spPr>
        <a:xfrm>
          <a:off x="4122420" y="15240"/>
          <a:ext cx="137160" cy="403860"/>
        </a:xfrm>
        <a:prstGeom prst="roundRect">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571500</xdr:colOff>
      <xdr:row>0</xdr:row>
      <xdr:rowOff>30480</xdr:rowOff>
    </xdr:from>
    <xdr:to>
      <xdr:col>13</xdr:col>
      <xdr:colOff>76200</xdr:colOff>
      <xdr:row>1</xdr:row>
      <xdr:rowOff>30480</xdr:rowOff>
    </xdr:to>
    <xdr:sp macro="" textlink="">
      <xdr:nvSpPr>
        <xdr:cNvPr id="12" name="Rectangle: Rounded Corners 11">
          <a:extLst>
            <a:ext uri="{FF2B5EF4-FFF2-40B4-BE49-F238E27FC236}">
              <a16:creationId xmlns:a16="http://schemas.microsoft.com/office/drawing/2014/main" id="{2B37BC25-AD1E-4BA9-9AB5-1D9BAF3280E8}"/>
            </a:ext>
          </a:extLst>
        </xdr:cNvPr>
        <xdr:cNvSpPr/>
      </xdr:nvSpPr>
      <xdr:spPr>
        <a:xfrm>
          <a:off x="10043160" y="30480"/>
          <a:ext cx="114300" cy="4114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xdr:row>
      <xdr:rowOff>175260</xdr:rowOff>
    </xdr:from>
    <xdr:to>
      <xdr:col>2</xdr:col>
      <xdr:colOff>76200</xdr:colOff>
      <xdr:row>2</xdr:row>
      <xdr:rowOff>0</xdr:rowOff>
    </xdr:to>
    <xdr:cxnSp macro="">
      <xdr:nvCxnSpPr>
        <xdr:cNvPr id="14" name="Straight Connector 13">
          <a:extLst>
            <a:ext uri="{FF2B5EF4-FFF2-40B4-BE49-F238E27FC236}">
              <a16:creationId xmlns:a16="http://schemas.microsoft.com/office/drawing/2014/main" id="{044422CB-1117-23E5-E04F-7E2DB27A5145}"/>
            </a:ext>
          </a:extLst>
        </xdr:cNvPr>
        <xdr:cNvCxnSpPr/>
      </xdr:nvCxnSpPr>
      <xdr:spPr>
        <a:xfrm flipV="1">
          <a:off x="0" y="586740"/>
          <a:ext cx="2735580" cy="762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28</xdr:row>
      <xdr:rowOff>0</xdr:rowOff>
    </xdr:from>
    <xdr:to>
      <xdr:col>2</xdr:col>
      <xdr:colOff>7620</xdr:colOff>
      <xdr:row>28</xdr:row>
      <xdr:rowOff>0</xdr:rowOff>
    </xdr:to>
    <xdr:cxnSp macro="">
      <xdr:nvCxnSpPr>
        <xdr:cNvPr id="17" name="Straight Connector 16">
          <a:extLst>
            <a:ext uri="{FF2B5EF4-FFF2-40B4-BE49-F238E27FC236}">
              <a16:creationId xmlns:a16="http://schemas.microsoft.com/office/drawing/2014/main" id="{E84C4041-6A72-4CB9-B494-41406BDD1F30}"/>
            </a:ext>
          </a:extLst>
        </xdr:cNvPr>
        <xdr:cNvCxnSpPr/>
      </xdr:nvCxnSpPr>
      <xdr:spPr>
        <a:xfrm>
          <a:off x="0" y="5349240"/>
          <a:ext cx="2667000" cy="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30480</xdr:colOff>
      <xdr:row>2</xdr:row>
      <xdr:rowOff>15240</xdr:rowOff>
    </xdr:from>
    <xdr:to>
      <xdr:col>2</xdr:col>
      <xdr:colOff>60960</xdr:colOff>
      <xdr:row>27</xdr:row>
      <xdr:rowOff>121920</xdr:rowOff>
    </xdr:to>
    <xdr:cxnSp macro="">
      <xdr:nvCxnSpPr>
        <xdr:cNvPr id="19" name="Straight Connector 18">
          <a:extLst>
            <a:ext uri="{FF2B5EF4-FFF2-40B4-BE49-F238E27FC236}">
              <a16:creationId xmlns:a16="http://schemas.microsoft.com/office/drawing/2014/main" id="{9F6D13A6-2969-485F-B037-D989C6B38F3D}"/>
            </a:ext>
          </a:extLst>
        </xdr:cNvPr>
        <xdr:cNvCxnSpPr/>
      </xdr:nvCxnSpPr>
      <xdr:spPr>
        <a:xfrm flipH="1">
          <a:off x="2689860" y="609600"/>
          <a:ext cx="30480" cy="467868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3</xdr:row>
      <xdr:rowOff>7620</xdr:rowOff>
    </xdr:from>
    <xdr:to>
      <xdr:col>2</xdr:col>
      <xdr:colOff>30480</xdr:colOff>
      <xdr:row>3</xdr:row>
      <xdr:rowOff>7620</xdr:rowOff>
    </xdr:to>
    <xdr:cxnSp macro="">
      <xdr:nvCxnSpPr>
        <xdr:cNvPr id="13" name="Straight Connector 12">
          <a:extLst>
            <a:ext uri="{FF2B5EF4-FFF2-40B4-BE49-F238E27FC236}">
              <a16:creationId xmlns:a16="http://schemas.microsoft.com/office/drawing/2014/main" id="{5AEA8D80-357E-4D13-B042-CD3E9401FABF}"/>
            </a:ext>
          </a:extLst>
        </xdr:cNvPr>
        <xdr:cNvCxnSpPr/>
      </xdr:nvCxnSpPr>
      <xdr:spPr>
        <a:xfrm>
          <a:off x="0" y="784860"/>
          <a:ext cx="2689860" cy="0"/>
        </a:xfrm>
        <a:prstGeom prst="line">
          <a:avLst/>
        </a:prstGeom>
        <a:ln>
          <a:solidFill>
            <a:srgbClr val="FFCA2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462643</xdr:colOff>
      <xdr:row>9</xdr:row>
      <xdr:rowOff>164258</xdr:rowOff>
    </xdr:from>
    <xdr:to>
      <xdr:col>18</xdr:col>
      <xdr:colOff>163285</xdr:colOff>
      <xdr:row>17</xdr:row>
      <xdr:rowOff>61232</xdr:rowOff>
    </xdr:to>
    <xdr:sp macro="" textlink="">
      <xdr:nvSpPr>
        <xdr:cNvPr id="4" name="Rectangle: Rounded Corners 3">
          <a:extLst>
            <a:ext uri="{FF2B5EF4-FFF2-40B4-BE49-F238E27FC236}">
              <a16:creationId xmlns:a16="http://schemas.microsoft.com/office/drawing/2014/main" id="{2AFF07B4-D220-1058-9BF2-FC4614B6372D}"/>
            </a:ext>
          </a:extLst>
        </xdr:cNvPr>
        <xdr:cNvSpPr/>
      </xdr:nvSpPr>
      <xdr:spPr>
        <a:xfrm>
          <a:off x="9035143" y="1817526"/>
          <a:ext cx="2149928" cy="1366545"/>
        </a:xfrm>
        <a:prstGeom prst="roundRect">
          <a:avLst/>
        </a:prstGeom>
        <a:ln>
          <a:solidFill>
            <a:srgbClr val="FFCA2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521582</xdr:colOff>
      <xdr:row>9</xdr:row>
      <xdr:rowOff>154343</xdr:rowOff>
    </xdr:from>
    <xdr:to>
      <xdr:col>6</xdr:col>
      <xdr:colOff>40821</xdr:colOff>
      <xdr:row>17</xdr:row>
      <xdr:rowOff>58200</xdr:rowOff>
    </xdr:to>
    <xdr:sp macro="" textlink="">
      <xdr:nvSpPr>
        <xdr:cNvPr id="8" name="Rectangle: Rounded Corners 7">
          <a:extLst>
            <a:ext uri="{FF2B5EF4-FFF2-40B4-BE49-F238E27FC236}">
              <a16:creationId xmlns:a16="http://schemas.microsoft.com/office/drawing/2014/main" id="{4B77872A-855D-9B21-0BAA-07EBA786D388}"/>
            </a:ext>
          </a:extLst>
        </xdr:cNvPr>
        <xdr:cNvSpPr/>
      </xdr:nvSpPr>
      <xdr:spPr>
        <a:xfrm>
          <a:off x="1133903" y="1807611"/>
          <a:ext cx="2580847" cy="1373428"/>
        </a:xfrm>
        <a:prstGeom prst="roundRect">
          <a:avLst/>
        </a:prstGeom>
        <a:ln>
          <a:solidFill>
            <a:srgbClr val="FFC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18234</xdr:colOff>
      <xdr:row>0</xdr:row>
      <xdr:rowOff>55789</xdr:rowOff>
    </xdr:from>
    <xdr:to>
      <xdr:col>3</xdr:col>
      <xdr:colOff>216354</xdr:colOff>
      <xdr:row>4</xdr:row>
      <xdr:rowOff>101509</xdr:rowOff>
    </xdr:to>
    <xdr:sp macro="" textlink="">
      <xdr:nvSpPr>
        <xdr:cNvPr id="2" name="Rectangle: Rounded Corners 1">
          <a:extLst>
            <a:ext uri="{FF2B5EF4-FFF2-40B4-BE49-F238E27FC236}">
              <a16:creationId xmlns:a16="http://schemas.microsoft.com/office/drawing/2014/main" id="{C4B85D47-748B-5824-65EA-DD7650A8DA84}"/>
            </a:ext>
          </a:extLst>
        </xdr:cNvPr>
        <xdr:cNvSpPr/>
      </xdr:nvSpPr>
      <xdr:spPr>
        <a:xfrm>
          <a:off x="18234" y="55789"/>
          <a:ext cx="2035084" cy="780506"/>
        </a:xfrm>
        <a:prstGeom prst="roundRect">
          <a:avLst/>
        </a:prstGeom>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lvl="0" algn="l"/>
          <a:r>
            <a:rPr lang="en-IN" sz="1800" b="1">
              <a:solidFill>
                <a:schemeClr val="bg1"/>
              </a:solidFill>
            </a:rPr>
            <a:t>       </a:t>
          </a:r>
          <a:r>
            <a:rPr lang="en-IN" sz="1800" b="1">
              <a:solidFill>
                <a:schemeClr val="bg1"/>
              </a:solidFill>
              <a:latin typeface="+mj-lt"/>
              <a:cs typeface="Times New Roman" panose="02020603050405020304" pitchFamily="18" charset="0"/>
            </a:rPr>
            <a:t> </a:t>
          </a:r>
          <a:r>
            <a:rPr lang="en-IN" sz="1800" b="1" baseline="0">
              <a:solidFill>
                <a:srgbClr val="FFC000"/>
              </a:solidFill>
              <a:latin typeface="+mj-lt"/>
              <a:cs typeface="Times New Roman" panose="02020603050405020304" pitchFamily="18" charset="0"/>
            </a:rPr>
            <a:t> </a:t>
          </a:r>
          <a:r>
            <a:rPr lang="en-IN" sz="1800" b="1" baseline="0">
              <a:solidFill>
                <a:schemeClr val="bg1"/>
              </a:solidFill>
              <a:latin typeface="+mj-lt"/>
              <a:cs typeface="Times New Roman" panose="02020603050405020304" pitchFamily="18" charset="0"/>
            </a:rPr>
            <a:t>PROJECT</a:t>
          </a:r>
        </a:p>
        <a:p>
          <a:pPr lvl="0" algn="l"/>
          <a:r>
            <a:rPr lang="en-IN" sz="1800" b="1" baseline="0">
              <a:solidFill>
                <a:schemeClr val="bg1"/>
              </a:solidFill>
              <a:latin typeface="+mj-lt"/>
              <a:cs typeface="Times New Roman" panose="02020603050405020304" pitchFamily="18" charset="0"/>
            </a:rPr>
            <a:t>    </a:t>
          </a:r>
          <a:r>
            <a:rPr lang="en-IN" sz="1800" b="1" baseline="0">
              <a:solidFill>
                <a:srgbClr val="FFC000"/>
              </a:solidFill>
              <a:latin typeface="+mj-lt"/>
              <a:cs typeface="Times New Roman" panose="02020603050405020304" pitchFamily="18" charset="0"/>
            </a:rPr>
            <a:t>  DASHBOARD</a:t>
          </a:r>
          <a:endParaRPr lang="en-IN" sz="1800" b="1">
            <a:solidFill>
              <a:srgbClr val="FFC000"/>
            </a:solidFill>
            <a:latin typeface="+mj-lt"/>
            <a:cs typeface="Times New Roman" panose="02020603050405020304" pitchFamily="18" charset="0"/>
          </a:endParaRPr>
        </a:p>
      </xdr:txBody>
    </xdr:sp>
    <xdr:clientData/>
  </xdr:twoCellAnchor>
  <xdr:twoCellAnchor>
    <xdr:from>
      <xdr:col>3</xdr:col>
      <xdr:colOff>238747</xdr:colOff>
      <xdr:row>0</xdr:row>
      <xdr:rowOff>61154</xdr:rowOff>
    </xdr:from>
    <xdr:to>
      <xdr:col>23</xdr:col>
      <xdr:colOff>463614</xdr:colOff>
      <xdr:row>4</xdr:row>
      <xdr:rowOff>99254</xdr:rowOff>
    </xdr:to>
    <xdr:sp macro="" textlink="">
      <xdr:nvSpPr>
        <xdr:cNvPr id="7" name="Rectangle: Rounded Corners 6">
          <a:extLst>
            <a:ext uri="{FF2B5EF4-FFF2-40B4-BE49-F238E27FC236}">
              <a16:creationId xmlns:a16="http://schemas.microsoft.com/office/drawing/2014/main" id="{0370CFC4-2090-7215-67C7-C5002B22C090}"/>
            </a:ext>
          </a:extLst>
        </xdr:cNvPr>
        <xdr:cNvSpPr/>
      </xdr:nvSpPr>
      <xdr:spPr>
        <a:xfrm>
          <a:off x="2075711" y="61154"/>
          <a:ext cx="12620974" cy="772886"/>
        </a:xfrm>
        <a:prstGeom prst="roundRect">
          <a:avLst/>
        </a:prstGeom>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baseline="0">
              <a:solidFill>
                <a:schemeClr val="bg1"/>
              </a:solidFill>
              <a:latin typeface="+mj-lt"/>
              <a:ea typeface="+mn-ea"/>
              <a:cs typeface="Times New Roman" panose="02020603050405020304" pitchFamily="18" charset="0"/>
            </a:rPr>
            <a:t>                        </a:t>
          </a:r>
          <a:r>
            <a:rPr lang="en-IN" sz="2400" b="1" baseline="0">
              <a:solidFill>
                <a:schemeClr val="bg1"/>
              </a:solidFill>
              <a:latin typeface="+mj-lt"/>
              <a:ea typeface="+mn-ea"/>
              <a:cs typeface="Times New Roman" panose="02020603050405020304" pitchFamily="18" charset="0"/>
            </a:rPr>
            <a:t>RETAIL</a:t>
          </a:r>
          <a:r>
            <a:rPr lang="en-IN" sz="2400" b="1">
              <a:solidFill>
                <a:schemeClr val="bg1"/>
              </a:solidFill>
            </a:rPr>
            <a:t> </a:t>
          </a:r>
          <a:r>
            <a:rPr lang="en-IN" sz="2400" b="1" baseline="0">
              <a:solidFill>
                <a:schemeClr val="bg1"/>
              </a:solidFill>
              <a:latin typeface="+mj-lt"/>
              <a:ea typeface="+mn-ea"/>
              <a:cs typeface="Times New Roman" panose="02020603050405020304" pitchFamily="18" charset="0"/>
            </a:rPr>
            <a:t>SALES</a:t>
          </a:r>
          <a:r>
            <a:rPr lang="en-IN" sz="2400" b="1">
              <a:solidFill>
                <a:schemeClr val="bg1"/>
              </a:solidFill>
            </a:rPr>
            <a:t> </a:t>
          </a:r>
          <a:r>
            <a:rPr lang="en-IN" sz="2400" b="1" baseline="0">
              <a:solidFill>
                <a:schemeClr val="bg1"/>
              </a:solidFill>
              <a:latin typeface="+mj-lt"/>
              <a:ea typeface="+mn-ea"/>
              <a:cs typeface="Times New Roman" panose="02020603050405020304" pitchFamily="18" charset="0"/>
            </a:rPr>
            <a:t>PERFORMANCE</a:t>
          </a:r>
          <a:r>
            <a:rPr lang="en-IN" sz="2400" b="1">
              <a:solidFill>
                <a:schemeClr val="bg1"/>
              </a:solidFill>
            </a:rPr>
            <a:t> </a:t>
          </a:r>
          <a:r>
            <a:rPr lang="en-IN" sz="2400" b="1" baseline="0">
              <a:solidFill>
                <a:srgbClr val="FFC000"/>
              </a:solidFill>
              <a:latin typeface="+mj-lt"/>
              <a:ea typeface="+mn-ea"/>
              <a:cs typeface="Times New Roman" panose="02020603050405020304" pitchFamily="18" charset="0"/>
            </a:rPr>
            <a:t>DASHBOARD</a:t>
          </a:r>
          <a:r>
            <a:rPr lang="en-IN" sz="2400" b="1">
              <a:solidFill>
                <a:srgbClr val="FFC000"/>
              </a:solidFill>
            </a:rPr>
            <a:t> </a:t>
          </a:r>
          <a:r>
            <a:rPr lang="en-IN" sz="2400" b="1" baseline="0">
              <a:solidFill>
                <a:srgbClr val="FFC000"/>
              </a:solidFill>
              <a:latin typeface="+mj-lt"/>
              <a:ea typeface="+mn-ea"/>
              <a:cs typeface="Times New Roman" panose="02020603050405020304" pitchFamily="18" charset="0"/>
            </a:rPr>
            <a:t>OF APRIL MAY JUNE 2026</a:t>
          </a:r>
        </a:p>
      </xdr:txBody>
    </xdr:sp>
    <xdr:clientData/>
  </xdr:twoCellAnchor>
  <xdr:twoCellAnchor editAs="oneCell">
    <xdr:from>
      <xdr:col>4</xdr:col>
      <xdr:colOff>82013</xdr:colOff>
      <xdr:row>0</xdr:row>
      <xdr:rowOff>27214</xdr:rowOff>
    </xdr:from>
    <xdr:to>
      <xdr:col>5</xdr:col>
      <xdr:colOff>201113</xdr:colOff>
      <xdr:row>4</xdr:row>
      <xdr:rowOff>23577</xdr:rowOff>
    </xdr:to>
    <xdr:pic>
      <xdr:nvPicPr>
        <xdr:cNvPr id="15" name="Graphic 14" descr="Target Audience with solid fill">
          <a:extLst>
            <a:ext uri="{FF2B5EF4-FFF2-40B4-BE49-F238E27FC236}">
              <a16:creationId xmlns:a16="http://schemas.microsoft.com/office/drawing/2014/main" id="{F9062BAE-8968-815F-5D72-0F1583F986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31299" y="27214"/>
          <a:ext cx="731421" cy="731149"/>
        </a:xfrm>
        <a:prstGeom prst="rect">
          <a:avLst/>
        </a:prstGeom>
        <a:effectLst>
          <a:outerShdw blurRad="50800" dist="38100" dir="2700000" algn="tl" rotWithShape="0">
            <a:prstClr val="black">
              <a:alpha val="40000"/>
            </a:prstClr>
          </a:outerShdw>
        </a:effectLst>
      </xdr:spPr>
    </xdr:pic>
    <xdr:clientData/>
  </xdr:twoCellAnchor>
  <xdr:twoCellAnchor>
    <xdr:from>
      <xdr:col>6</xdr:col>
      <xdr:colOff>124866</xdr:colOff>
      <xdr:row>10</xdr:row>
      <xdr:rowOff>2917</xdr:rowOff>
    </xdr:from>
    <xdr:to>
      <xdr:col>9</xdr:col>
      <xdr:colOff>417935</xdr:colOff>
      <xdr:row>17</xdr:row>
      <xdr:rowOff>57346</xdr:rowOff>
    </xdr:to>
    <xdr:sp macro="" textlink="">
      <xdr:nvSpPr>
        <xdr:cNvPr id="40" name="Rectangle: Rounded Corners 39">
          <a:extLst>
            <a:ext uri="{FF2B5EF4-FFF2-40B4-BE49-F238E27FC236}">
              <a16:creationId xmlns:a16="http://schemas.microsoft.com/office/drawing/2014/main" id="{D4A54784-D82B-4D58-BDD4-87AC3B64BC7E}"/>
            </a:ext>
          </a:extLst>
        </xdr:cNvPr>
        <xdr:cNvSpPr/>
      </xdr:nvSpPr>
      <xdr:spPr>
        <a:xfrm>
          <a:off x="3798795" y="1839881"/>
          <a:ext cx="2130033" cy="1340304"/>
        </a:xfrm>
        <a:prstGeom prst="roundRect">
          <a:avLst/>
        </a:prstGeom>
        <a:ln>
          <a:solidFill>
            <a:srgbClr val="FFCA2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xdr:col>
      <xdr:colOff>578498</xdr:colOff>
      <xdr:row>17</xdr:row>
      <xdr:rowOff>140581</xdr:rowOff>
    </xdr:from>
    <xdr:to>
      <xdr:col>6</xdr:col>
      <xdr:colOff>496659</xdr:colOff>
      <xdr:row>25</xdr:row>
      <xdr:rowOff>149678</xdr:rowOff>
    </xdr:to>
    <xdr:sp macro="" textlink="">
      <xdr:nvSpPr>
        <xdr:cNvPr id="42" name="Rectangle: Rounded Corners 41">
          <a:extLst>
            <a:ext uri="{FF2B5EF4-FFF2-40B4-BE49-F238E27FC236}">
              <a16:creationId xmlns:a16="http://schemas.microsoft.com/office/drawing/2014/main" id="{05BE5EEE-C941-8B46-977E-539192E49CE7}"/>
            </a:ext>
          </a:extLst>
        </xdr:cNvPr>
        <xdr:cNvSpPr/>
      </xdr:nvSpPr>
      <xdr:spPr>
        <a:xfrm>
          <a:off x="1190819" y="3263420"/>
          <a:ext cx="2979769" cy="1478669"/>
        </a:xfrm>
        <a:prstGeom prst="roundRect">
          <a:avLst/>
        </a:prstGeom>
        <a:ln>
          <a:solidFill>
            <a:srgbClr val="FFCA2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545258</xdr:colOff>
      <xdr:row>26</xdr:row>
      <xdr:rowOff>54429</xdr:rowOff>
    </xdr:from>
    <xdr:to>
      <xdr:col>14</xdr:col>
      <xdr:colOff>564696</xdr:colOff>
      <xdr:row>34</xdr:row>
      <xdr:rowOff>136071</xdr:rowOff>
    </xdr:to>
    <xdr:sp macro="" textlink="">
      <xdr:nvSpPr>
        <xdr:cNvPr id="44" name="Rectangle: Rounded Corners 43">
          <a:extLst>
            <a:ext uri="{FF2B5EF4-FFF2-40B4-BE49-F238E27FC236}">
              <a16:creationId xmlns:a16="http://schemas.microsoft.com/office/drawing/2014/main" id="{15DB0A3B-F4C9-35E4-175E-A2B250CC56A4}"/>
            </a:ext>
          </a:extLst>
        </xdr:cNvPr>
        <xdr:cNvSpPr/>
      </xdr:nvSpPr>
      <xdr:spPr>
        <a:xfrm>
          <a:off x="1157579" y="4830536"/>
          <a:ext cx="7979617" cy="1551214"/>
        </a:xfrm>
        <a:prstGeom prst="roundRect">
          <a:avLst/>
        </a:prstGeom>
        <a:ln>
          <a:solidFill>
            <a:srgbClr val="FFCA2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578304</xdr:colOff>
      <xdr:row>17</xdr:row>
      <xdr:rowOff>170090</xdr:rowOff>
    </xdr:from>
    <xdr:to>
      <xdr:col>18</xdr:col>
      <xdr:colOff>251733</xdr:colOff>
      <xdr:row>25</xdr:row>
      <xdr:rowOff>131212</xdr:rowOff>
    </xdr:to>
    <xdr:sp macro="" textlink="">
      <xdr:nvSpPr>
        <xdr:cNvPr id="48" name="Rectangle: Rounded Corners 47">
          <a:extLst>
            <a:ext uri="{FF2B5EF4-FFF2-40B4-BE49-F238E27FC236}">
              <a16:creationId xmlns:a16="http://schemas.microsoft.com/office/drawing/2014/main" id="{6A25B177-B279-B004-9587-8F0BB7407148}"/>
            </a:ext>
          </a:extLst>
        </xdr:cNvPr>
        <xdr:cNvSpPr/>
      </xdr:nvSpPr>
      <xdr:spPr>
        <a:xfrm>
          <a:off x="4252233" y="3292929"/>
          <a:ext cx="7021286" cy="1430694"/>
        </a:xfrm>
        <a:prstGeom prst="roundRect">
          <a:avLst/>
        </a:prstGeom>
        <a:ln>
          <a:solidFill>
            <a:srgbClr val="FFCA2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479163</xdr:colOff>
      <xdr:row>9</xdr:row>
      <xdr:rowOff>168146</xdr:rowOff>
    </xdr:from>
    <xdr:to>
      <xdr:col>14</xdr:col>
      <xdr:colOff>401411</xdr:colOff>
      <xdr:row>17</xdr:row>
      <xdr:rowOff>74841</xdr:rowOff>
    </xdr:to>
    <xdr:sp macro="" textlink="">
      <xdr:nvSpPr>
        <xdr:cNvPr id="50" name="Rectangle: Rounded Corners 49">
          <a:extLst>
            <a:ext uri="{FF2B5EF4-FFF2-40B4-BE49-F238E27FC236}">
              <a16:creationId xmlns:a16="http://schemas.microsoft.com/office/drawing/2014/main" id="{75B5D881-6DAE-4765-EB9E-00F71E05D76F}"/>
            </a:ext>
          </a:extLst>
        </xdr:cNvPr>
        <xdr:cNvSpPr/>
      </xdr:nvSpPr>
      <xdr:spPr>
        <a:xfrm>
          <a:off x="5990056" y="1821414"/>
          <a:ext cx="2983855" cy="1376266"/>
        </a:xfrm>
        <a:prstGeom prst="roundRect">
          <a:avLst/>
        </a:prstGeom>
        <a:ln>
          <a:solidFill>
            <a:srgbClr val="FFCA2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550547</xdr:colOff>
      <xdr:row>4</xdr:row>
      <xdr:rowOff>120831</xdr:rowOff>
    </xdr:from>
    <xdr:to>
      <xdr:col>5</xdr:col>
      <xdr:colOff>224519</xdr:colOff>
      <xdr:row>9</xdr:row>
      <xdr:rowOff>47625</xdr:rowOff>
    </xdr:to>
    <xdr:sp macro="" textlink="">
      <xdr:nvSpPr>
        <xdr:cNvPr id="52" name="Rectangle: Rounded Corners 51">
          <a:extLst>
            <a:ext uri="{FF2B5EF4-FFF2-40B4-BE49-F238E27FC236}">
              <a16:creationId xmlns:a16="http://schemas.microsoft.com/office/drawing/2014/main" id="{0B421D83-11FE-C80A-A51A-EDF8EEF03443}"/>
            </a:ext>
          </a:extLst>
        </xdr:cNvPr>
        <xdr:cNvSpPr/>
      </xdr:nvSpPr>
      <xdr:spPr>
        <a:xfrm>
          <a:off x="1162868" y="855617"/>
          <a:ext cx="2123258" cy="845276"/>
        </a:xfrm>
        <a:prstGeom prst="roundRect">
          <a:avLst/>
        </a:prstGeom>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0" i="0" u="none" strike="noStrike" baseline="0">
              <a:solidFill>
                <a:schemeClr val="bg1"/>
              </a:solidFill>
              <a:effectLst/>
              <a:latin typeface="+mn-lt"/>
              <a:ea typeface="+mn-ea"/>
              <a:cs typeface="+mn-cs"/>
            </a:rPr>
            <a:t>                </a:t>
          </a:r>
          <a:r>
            <a:rPr lang="en-IN" sz="1600" b="1" i="0" u="none" strike="noStrike" baseline="0">
              <a:solidFill>
                <a:schemeClr val="bg1"/>
              </a:solidFill>
              <a:effectLst/>
              <a:latin typeface="+mn-lt"/>
              <a:ea typeface="+mn-ea"/>
              <a:cs typeface="+mn-cs"/>
            </a:rPr>
            <a:t> TOTAL REVENUE</a:t>
          </a:r>
        </a:p>
        <a:p>
          <a:pPr algn="l"/>
          <a:r>
            <a:rPr lang="en-IN" sz="1600" b="1" i="0" u="none" strike="noStrike" baseline="0">
              <a:solidFill>
                <a:schemeClr val="dk1"/>
              </a:solidFill>
              <a:effectLst/>
              <a:latin typeface="+mn-lt"/>
              <a:ea typeface="+mn-ea"/>
              <a:cs typeface="+mn-cs"/>
            </a:rPr>
            <a:t>                 </a:t>
          </a:r>
          <a:r>
            <a:rPr lang="en-IN" sz="1600" b="1" i="0">
              <a:solidFill>
                <a:srgbClr val="FFC000"/>
              </a:solidFill>
              <a:effectLst/>
              <a:latin typeface="+mn-lt"/>
              <a:ea typeface="+mn-ea"/>
              <a:cs typeface="+mn-cs"/>
            </a:rPr>
            <a:t>661472</a:t>
          </a:r>
          <a:r>
            <a:rPr lang="en-IN" sz="1600" b="1">
              <a:solidFill>
                <a:srgbClr val="FFC000"/>
              </a:solidFill>
              <a:effectLst/>
              <a:latin typeface="+mn-lt"/>
              <a:ea typeface="+mn-ea"/>
              <a:cs typeface="+mn-cs"/>
            </a:rPr>
            <a:t> </a:t>
          </a:r>
          <a:endParaRPr lang="en-IN" sz="1600" b="1" i="0" u="none" strike="noStrike" baseline="0">
            <a:solidFill>
              <a:srgbClr val="FFC000"/>
            </a:solidFill>
            <a:effectLst/>
            <a:latin typeface="+mn-lt"/>
            <a:ea typeface="+mn-ea"/>
            <a:cs typeface="+mn-cs"/>
          </a:endParaRPr>
        </a:p>
        <a:p>
          <a:pPr algn="l"/>
          <a:r>
            <a:rPr lang="en-IN" sz="1600" b="1" i="0" u="none" strike="noStrike">
              <a:solidFill>
                <a:schemeClr val="dk1"/>
              </a:solidFill>
              <a:effectLst/>
              <a:latin typeface="+mn-lt"/>
              <a:ea typeface="+mn-ea"/>
              <a:cs typeface="+mn-cs"/>
            </a:rPr>
            <a:t>                       </a:t>
          </a:r>
          <a:endParaRPr lang="en-IN" sz="1600" b="1">
            <a:solidFill>
              <a:srgbClr val="FFC000"/>
            </a:solidFill>
          </a:endParaRPr>
        </a:p>
      </xdr:txBody>
    </xdr:sp>
    <xdr:clientData/>
  </xdr:twoCellAnchor>
  <xdr:twoCellAnchor editAs="oneCell">
    <xdr:from>
      <xdr:col>2</xdr:col>
      <xdr:colOff>33746</xdr:colOff>
      <xdr:row>4</xdr:row>
      <xdr:rowOff>141786</xdr:rowOff>
    </xdr:from>
    <xdr:to>
      <xdr:col>3</xdr:col>
      <xdr:colOff>64227</xdr:colOff>
      <xdr:row>8</xdr:row>
      <xdr:rowOff>49530</xdr:rowOff>
    </xdr:to>
    <xdr:pic>
      <xdr:nvPicPr>
        <xdr:cNvPr id="55" name="Graphic 54" descr="Coins with solid fill">
          <a:extLst>
            <a:ext uri="{FF2B5EF4-FFF2-40B4-BE49-F238E27FC236}">
              <a16:creationId xmlns:a16="http://schemas.microsoft.com/office/drawing/2014/main" id="{EF709DFA-E628-2FA2-E229-4FCEE29348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58389" y="876572"/>
          <a:ext cx="642802" cy="642529"/>
        </a:xfrm>
        <a:prstGeom prst="rect">
          <a:avLst/>
        </a:prstGeom>
      </xdr:spPr>
    </xdr:pic>
    <xdr:clientData/>
  </xdr:twoCellAnchor>
  <xdr:twoCellAnchor>
    <xdr:from>
      <xdr:col>5</xdr:col>
      <xdr:colOff>281592</xdr:colOff>
      <xdr:row>4</xdr:row>
      <xdr:rowOff>151972</xdr:rowOff>
    </xdr:from>
    <xdr:to>
      <xdr:col>8</xdr:col>
      <xdr:colOff>483054</xdr:colOff>
      <xdr:row>9</xdr:row>
      <xdr:rowOff>36856</xdr:rowOff>
    </xdr:to>
    <xdr:sp macro="" textlink="">
      <xdr:nvSpPr>
        <xdr:cNvPr id="56" name="Rectangle: Rounded Corners 55">
          <a:extLst>
            <a:ext uri="{FF2B5EF4-FFF2-40B4-BE49-F238E27FC236}">
              <a16:creationId xmlns:a16="http://schemas.microsoft.com/office/drawing/2014/main" id="{50F791EB-C65B-443B-9B33-CFCE723D142D}"/>
            </a:ext>
          </a:extLst>
        </xdr:cNvPr>
        <xdr:cNvSpPr/>
      </xdr:nvSpPr>
      <xdr:spPr>
        <a:xfrm>
          <a:off x="3343199" y="886758"/>
          <a:ext cx="2038426" cy="803366"/>
        </a:xfrm>
        <a:prstGeom prst="roundRect">
          <a:avLst/>
        </a:prstGeom>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0" i="0" u="none" strike="noStrike" baseline="0">
              <a:solidFill>
                <a:schemeClr val="bg1"/>
              </a:solidFill>
              <a:effectLst/>
              <a:latin typeface="+mn-lt"/>
              <a:ea typeface="+mn-ea"/>
              <a:cs typeface="+mn-cs"/>
            </a:rPr>
            <a:t>                  </a:t>
          </a:r>
          <a:r>
            <a:rPr lang="en-IN" sz="1600" b="1" i="0" u="none" strike="noStrike" baseline="0">
              <a:solidFill>
                <a:schemeClr val="bg1"/>
              </a:solidFill>
              <a:effectLst/>
              <a:latin typeface="+mn-lt"/>
              <a:ea typeface="+mn-ea"/>
              <a:cs typeface="+mn-cs"/>
            </a:rPr>
            <a:t>TOTAL ORDERS</a:t>
          </a:r>
        </a:p>
        <a:p>
          <a:pPr algn="l"/>
          <a:r>
            <a:rPr lang="en-IN" sz="1600" b="1" i="0" u="none" strike="noStrike" baseline="0">
              <a:solidFill>
                <a:srgbClr val="FFC000"/>
              </a:solidFill>
              <a:effectLst/>
              <a:latin typeface="+mn-lt"/>
              <a:ea typeface="+mn-ea"/>
              <a:cs typeface="+mn-cs"/>
            </a:rPr>
            <a:t>                  140</a:t>
          </a:r>
        </a:p>
        <a:p>
          <a:pPr algn="l"/>
          <a:r>
            <a:rPr lang="en-IN" sz="1600" b="1" i="0" u="none" strike="noStrike">
              <a:solidFill>
                <a:schemeClr val="dk1"/>
              </a:solidFill>
              <a:effectLst/>
              <a:latin typeface="+mn-lt"/>
              <a:ea typeface="+mn-ea"/>
              <a:cs typeface="+mn-cs"/>
            </a:rPr>
            <a:t>                       </a:t>
          </a:r>
          <a:endParaRPr lang="en-IN" sz="1600" b="1">
            <a:solidFill>
              <a:srgbClr val="FFC000"/>
            </a:solidFill>
          </a:endParaRPr>
        </a:p>
      </xdr:txBody>
    </xdr:sp>
    <xdr:clientData/>
  </xdr:twoCellAnchor>
  <xdr:twoCellAnchor editAs="oneCell">
    <xdr:from>
      <xdr:col>5</xdr:col>
      <xdr:colOff>358412</xdr:colOff>
      <xdr:row>5</xdr:row>
      <xdr:rowOff>17416</xdr:rowOff>
    </xdr:from>
    <xdr:to>
      <xdr:col>6</xdr:col>
      <xdr:colOff>282211</xdr:colOff>
      <xdr:row>8</xdr:row>
      <xdr:rowOff>2176</xdr:rowOff>
    </xdr:to>
    <xdr:pic>
      <xdr:nvPicPr>
        <xdr:cNvPr id="58" name="Graphic 57" descr="Shopping cart with solid fill">
          <a:extLst>
            <a:ext uri="{FF2B5EF4-FFF2-40B4-BE49-F238E27FC236}">
              <a16:creationId xmlns:a16="http://schemas.microsoft.com/office/drawing/2014/main" id="{955D274D-F054-3904-02DA-89E1BBD4623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20019" y="935898"/>
          <a:ext cx="536121" cy="535849"/>
        </a:xfrm>
        <a:prstGeom prst="rect">
          <a:avLst/>
        </a:prstGeom>
      </xdr:spPr>
    </xdr:pic>
    <xdr:clientData/>
  </xdr:twoCellAnchor>
  <xdr:twoCellAnchor>
    <xdr:from>
      <xdr:col>8</xdr:col>
      <xdr:colOff>521350</xdr:colOff>
      <xdr:row>4</xdr:row>
      <xdr:rowOff>156833</xdr:rowOff>
    </xdr:from>
    <xdr:to>
      <xdr:col>12</xdr:col>
      <xdr:colOff>74840</xdr:colOff>
      <xdr:row>9</xdr:row>
      <xdr:rowOff>38801</xdr:rowOff>
    </xdr:to>
    <xdr:sp macro="" textlink="">
      <xdr:nvSpPr>
        <xdr:cNvPr id="59" name="Rectangle: Rounded Corners 58">
          <a:extLst>
            <a:ext uri="{FF2B5EF4-FFF2-40B4-BE49-F238E27FC236}">
              <a16:creationId xmlns:a16="http://schemas.microsoft.com/office/drawing/2014/main" id="{F364E077-CC46-482F-B123-578029D2F026}"/>
            </a:ext>
          </a:extLst>
        </xdr:cNvPr>
        <xdr:cNvSpPr/>
      </xdr:nvSpPr>
      <xdr:spPr>
        <a:xfrm>
          <a:off x="5419921" y="891619"/>
          <a:ext cx="2002776" cy="800450"/>
        </a:xfrm>
        <a:prstGeom prst="roundRect">
          <a:avLst/>
        </a:prstGeom>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0" i="0" u="none" strike="noStrike" baseline="0">
              <a:solidFill>
                <a:schemeClr val="bg1"/>
              </a:solidFill>
              <a:effectLst/>
              <a:latin typeface="+mn-lt"/>
              <a:ea typeface="+mn-ea"/>
              <a:cs typeface="+mn-cs"/>
            </a:rPr>
            <a:t>                      </a:t>
          </a:r>
          <a:r>
            <a:rPr lang="en-IN" sz="1600" b="1" i="0" u="none" strike="noStrike" baseline="0">
              <a:solidFill>
                <a:schemeClr val="bg1"/>
              </a:solidFill>
              <a:effectLst/>
              <a:latin typeface="+mn-lt"/>
              <a:ea typeface="+mn-ea"/>
              <a:cs typeface="+mn-cs"/>
            </a:rPr>
            <a:t>TOP CITY</a:t>
          </a:r>
        </a:p>
        <a:p>
          <a:pPr algn="l"/>
          <a:r>
            <a:rPr lang="en-IN" sz="1600" b="1" i="0" u="none" strike="noStrike" baseline="0">
              <a:solidFill>
                <a:srgbClr val="FFC000"/>
              </a:solidFill>
              <a:effectLst/>
              <a:latin typeface="+mn-lt"/>
              <a:ea typeface="+mn-ea"/>
              <a:cs typeface="+mn-cs"/>
            </a:rPr>
            <a:t>                 CHENNAI</a:t>
          </a:r>
        </a:p>
        <a:p>
          <a:pPr algn="l"/>
          <a:r>
            <a:rPr lang="en-IN" sz="1600" b="1" i="0" u="none" strike="noStrike">
              <a:solidFill>
                <a:schemeClr val="dk1"/>
              </a:solidFill>
              <a:effectLst/>
              <a:latin typeface="+mn-lt"/>
              <a:ea typeface="+mn-ea"/>
              <a:cs typeface="+mn-cs"/>
            </a:rPr>
            <a:t>                       </a:t>
          </a:r>
          <a:endParaRPr lang="en-IN" sz="1600" b="1">
            <a:solidFill>
              <a:srgbClr val="FFC000"/>
            </a:solidFill>
          </a:endParaRPr>
        </a:p>
      </xdr:txBody>
    </xdr:sp>
    <xdr:clientData/>
  </xdr:twoCellAnchor>
  <xdr:twoCellAnchor editAs="oneCell">
    <xdr:from>
      <xdr:col>8</xdr:col>
      <xdr:colOff>530252</xdr:colOff>
      <xdr:row>4</xdr:row>
      <xdr:rowOff>159904</xdr:rowOff>
    </xdr:from>
    <xdr:to>
      <xdr:col>10</xdr:col>
      <xdr:colOff>47471</xdr:colOff>
      <xdr:row>8</xdr:row>
      <xdr:rowOff>167524</xdr:rowOff>
    </xdr:to>
    <xdr:pic>
      <xdr:nvPicPr>
        <xdr:cNvPr id="61" name="Graphic 60" descr="Earth Globe - Asia with solid fill">
          <a:extLst>
            <a:ext uri="{FF2B5EF4-FFF2-40B4-BE49-F238E27FC236}">
              <a16:creationId xmlns:a16="http://schemas.microsoft.com/office/drawing/2014/main" id="{C8F81120-77FA-C4A2-EC50-7CF5C4F0C9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28823" y="894690"/>
          <a:ext cx="741862" cy="742405"/>
        </a:xfrm>
        <a:prstGeom prst="rect">
          <a:avLst/>
        </a:prstGeom>
      </xdr:spPr>
    </xdr:pic>
    <xdr:clientData/>
  </xdr:twoCellAnchor>
  <xdr:twoCellAnchor editAs="oneCell">
    <xdr:from>
      <xdr:col>15</xdr:col>
      <xdr:colOff>559837</xdr:colOff>
      <xdr:row>18</xdr:row>
      <xdr:rowOff>156403</xdr:rowOff>
    </xdr:from>
    <xdr:to>
      <xdr:col>16</xdr:col>
      <xdr:colOff>396551</xdr:colOff>
      <xdr:row>21</xdr:row>
      <xdr:rowOff>98742</xdr:rowOff>
    </xdr:to>
    <xdr:pic>
      <xdr:nvPicPr>
        <xdr:cNvPr id="63" name="Graphic 62" descr="Bar graph with upward trend with solid fill">
          <a:extLst>
            <a:ext uri="{FF2B5EF4-FFF2-40B4-BE49-F238E27FC236}">
              <a16:creationId xmlns:a16="http://schemas.microsoft.com/office/drawing/2014/main" id="{87A61EDF-A725-8ACB-FC19-60A9B2B0B06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57184" y="3515423"/>
          <a:ext cx="443204" cy="502176"/>
        </a:xfrm>
        <a:prstGeom prst="rect">
          <a:avLst/>
        </a:prstGeom>
      </xdr:spPr>
    </xdr:pic>
    <xdr:clientData/>
  </xdr:twoCellAnchor>
  <xdr:twoCellAnchor editAs="oneCell">
    <xdr:from>
      <xdr:col>5</xdr:col>
      <xdr:colOff>383024</xdr:colOff>
      <xdr:row>27</xdr:row>
      <xdr:rowOff>51628</xdr:rowOff>
    </xdr:from>
    <xdr:to>
      <xdr:col>6</xdr:col>
      <xdr:colOff>413503</xdr:colOff>
      <xdr:row>30</xdr:row>
      <xdr:rowOff>146801</xdr:rowOff>
    </xdr:to>
    <xdr:pic>
      <xdr:nvPicPr>
        <xdr:cNvPr id="67" name="Graphic 66" descr="Europe with solid fill">
          <a:extLst>
            <a:ext uri="{FF2B5EF4-FFF2-40B4-BE49-F238E27FC236}">
              <a16:creationId xmlns:a16="http://schemas.microsoft.com/office/drawing/2014/main" id="{AF1143B8-A8B4-EDDB-76C9-7E08279F3C7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415473" y="5090159"/>
          <a:ext cx="636969" cy="655009"/>
        </a:xfrm>
        <a:prstGeom prst="rect">
          <a:avLst/>
        </a:prstGeom>
      </xdr:spPr>
    </xdr:pic>
    <xdr:clientData/>
  </xdr:twoCellAnchor>
  <xdr:twoCellAnchor editAs="oneCell">
    <xdr:from>
      <xdr:col>6</xdr:col>
      <xdr:colOff>158154</xdr:colOff>
      <xdr:row>21</xdr:row>
      <xdr:rowOff>69980</xdr:rowOff>
    </xdr:from>
    <xdr:to>
      <xdr:col>6</xdr:col>
      <xdr:colOff>440094</xdr:colOff>
      <xdr:row>22</xdr:row>
      <xdr:rowOff>169040</xdr:rowOff>
    </xdr:to>
    <xdr:pic>
      <xdr:nvPicPr>
        <xdr:cNvPr id="75" name="Graphic 74" descr="Dress with solid fill">
          <a:extLst>
            <a:ext uri="{FF2B5EF4-FFF2-40B4-BE49-F238E27FC236}">
              <a16:creationId xmlns:a16="http://schemas.microsoft.com/office/drawing/2014/main" id="{1ABB2E29-BE0A-2373-DFED-B5F29F29088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797093" y="3988837"/>
          <a:ext cx="281940" cy="285672"/>
        </a:xfrm>
        <a:prstGeom prst="rect">
          <a:avLst/>
        </a:prstGeom>
      </xdr:spPr>
    </xdr:pic>
    <xdr:clientData/>
  </xdr:twoCellAnchor>
  <xdr:twoCellAnchor>
    <xdr:from>
      <xdr:col>12</xdr:col>
      <xdr:colOff>105940</xdr:colOff>
      <xdr:row>4</xdr:row>
      <xdr:rowOff>172034</xdr:rowOff>
    </xdr:from>
    <xdr:to>
      <xdr:col>15</xdr:col>
      <xdr:colOff>387804</xdr:colOff>
      <xdr:row>9</xdr:row>
      <xdr:rowOff>13608</xdr:rowOff>
    </xdr:to>
    <xdr:sp macro="" textlink="">
      <xdr:nvSpPr>
        <xdr:cNvPr id="6" name="Rectangle: Rounded Corners 5">
          <a:extLst>
            <a:ext uri="{FF2B5EF4-FFF2-40B4-BE49-F238E27FC236}">
              <a16:creationId xmlns:a16="http://schemas.microsoft.com/office/drawing/2014/main" id="{2AAABAB6-E4E7-4409-BDCD-192A3E3D4363}"/>
            </a:ext>
          </a:extLst>
        </xdr:cNvPr>
        <xdr:cNvSpPr/>
      </xdr:nvSpPr>
      <xdr:spPr>
        <a:xfrm>
          <a:off x="7453797" y="906820"/>
          <a:ext cx="2118828" cy="760056"/>
        </a:xfrm>
        <a:prstGeom prst="roundRect">
          <a:avLst/>
        </a:prstGeom>
        <a:ln>
          <a:solidFill>
            <a:srgbClr val="FFCA2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0" i="0" u="none" strike="noStrike" baseline="0">
              <a:solidFill>
                <a:schemeClr val="bg1"/>
              </a:solidFill>
              <a:effectLst/>
              <a:latin typeface="+mn-lt"/>
              <a:ea typeface="+mn-ea"/>
              <a:cs typeface="+mn-cs"/>
            </a:rPr>
            <a:t>                     </a:t>
          </a:r>
          <a:r>
            <a:rPr lang="en-IN" sz="1600" b="1" i="0" u="none" strike="noStrike" baseline="0">
              <a:solidFill>
                <a:schemeClr val="bg1"/>
              </a:solidFill>
              <a:effectLst/>
              <a:latin typeface="+mn-lt"/>
              <a:ea typeface="+mn-ea"/>
              <a:cs typeface="+mn-cs"/>
            </a:rPr>
            <a:t>TOP</a:t>
          </a:r>
          <a:r>
            <a:rPr lang="en-IN" sz="1100" b="0" i="0" u="none" strike="noStrike" baseline="0">
              <a:solidFill>
                <a:schemeClr val="bg1"/>
              </a:solidFill>
              <a:effectLst/>
              <a:latin typeface="+mn-lt"/>
              <a:ea typeface="+mn-ea"/>
              <a:cs typeface="+mn-cs"/>
            </a:rPr>
            <a:t> </a:t>
          </a:r>
          <a:r>
            <a:rPr lang="en-IN" sz="1600" b="1" i="0" u="none" strike="noStrike" baseline="0">
              <a:solidFill>
                <a:schemeClr val="bg1"/>
              </a:solidFill>
              <a:effectLst/>
              <a:latin typeface="+mn-lt"/>
              <a:ea typeface="+mn-ea"/>
              <a:cs typeface="+mn-cs"/>
            </a:rPr>
            <a:t>CATEGORY</a:t>
          </a:r>
        </a:p>
        <a:p>
          <a:pPr algn="l"/>
          <a:r>
            <a:rPr lang="en-IN" sz="1600" b="1" i="0" u="none" strike="noStrike">
              <a:solidFill>
                <a:schemeClr val="dk1"/>
              </a:solidFill>
              <a:effectLst/>
              <a:latin typeface="+mn-lt"/>
              <a:ea typeface="+mn-ea"/>
              <a:cs typeface="+mn-cs"/>
            </a:rPr>
            <a:t>               </a:t>
          </a:r>
          <a:r>
            <a:rPr lang="en-IN" sz="1600" b="1" i="0" u="none" strike="noStrike" baseline="0">
              <a:solidFill>
                <a:schemeClr val="dk1"/>
              </a:solidFill>
              <a:effectLst/>
              <a:latin typeface="+mn-lt"/>
              <a:ea typeface="+mn-ea"/>
              <a:cs typeface="+mn-cs"/>
            </a:rPr>
            <a:t>      </a:t>
          </a:r>
          <a:r>
            <a:rPr lang="en-IN" sz="1600" b="1" i="0" u="none" strike="noStrike" baseline="0">
              <a:solidFill>
                <a:srgbClr val="FFC000"/>
              </a:solidFill>
              <a:effectLst/>
              <a:latin typeface="+mn-lt"/>
              <a:ea typeface="+mn-ea"/>
              <a:cs typeface="+mn-cs"/>
            </a:rPr>
            <a:t>SAREE</a:t>
          </a:r>
        </a:p>
      </xdr:txBody>
    </xdr:sp>
    <xdr:clientData/>
  </xdr:twoCellAnchor>
  <xdr:twoCellAnchor editAs="oneCell">
    <xdr:from>
      <xdr:col>12</xdr:col>
      <xdr:colOff>158424</xdr:colOff>
      <xdr:row>4</xdr:row>
      <xdr:rowOff>142877</xdr:rowOff>
    </xdr:from>
    <xdr:to>
      <xdr:col>13</xdr:col>
      <xdr:colOff>170089</xdr:colOff>
      <xdr:row>8</xdr:row>
      <xdr:rowOff>75813</xdr:rowOff>
    </xdr:to>
    <xdr:pic>
      <xdr:nvPicPr>
        <xdr:cNvPr id="10" name="Graphic 9" descr="Crown with solid fill">
          <a:extLst>
            <a:ext uri="{FF2B5EF4-FFF2-40B4-BE49-F238E27FC236}">
              <a16:creationId xmlns:a16="http://schemas.microsoft.com/office/drawing/2014/main" id="{FE8B7FB1-1A3A-CF9A-B75B-1B469B7D10E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506281" y="877663"/>
          <a:ext cx="623987" cy="667721"/>
        </a:xfrm>
        <a:prstGeom prst="rect">
          <a:avLst/>
        </a:prstGeom>
      </xdr:spPr>
    </xdr:pic>
    <xdr:clientData/>
  </xdr:twoCellAnchor>
  <xdr:twoCellAnchor>
    <xdr:from>
      <xdr:col>9</xdr:col>
      <xdr:colOff>575488</xdr:colOff>
      <xdr:row>10</xdr:row>
      <xdr:rowOff>176893</xdr:rowOff>
    </xdr:from>
    <xdr:to>
      <xdr:col>14</xdr:col>
      <xdr:colOff>278947</xdr:colOff>
      <xdr:row>16</xdr:row>
      <xdr:rowOff>109391</xdr:rowOff>
    </xdr:to>
    <xdr:graphicFrame macro="">
      <xdr:nvGraphicFramePr>
        <xdr:cNvPr id="3" name="Chart 2">
          <a:extLst>
            <a:ext uri="{FF2B5EF4-FFF2-40B4-BE49-F238E27FC236}">
              <a16:creationId xmlns:a16="http://schemas.microsoft.com/office/drawing/2014/main" id="{7B45548A-A0B1-4F0C-8517-C568BBED5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210912</xdr:colOff>
      <xdr:row>10</xdr:row>
      <xdr:rowOff>138016</xdr:rowOff>
    </xdr:from>
    <xdr:to>
      <xdr:col>9</xdr:col>
      <xdr:colOff>311993</xdr:colOff>
      <xdr:row>16</xdr:row>
      <xdr:rowOff>136071</xdr:rowOff>
    </xdr:to>
    <xdr:graphicFrame macro="">
      <xdr:nvGraphicFramePr>
        <xdr:cNvPr id="5" name="Chart 4">
          <a:extLst>
            <a:ext uri="{FF2B5EF4-FFF2-40B4-BE49-F238E27FC236}">
              <a16:creationId xmlns:a16="http://schemas.microsoft.com/office/drawing/2014/main" id="{C85B0466-CB61-4DA6-8EB6-FF61AC88B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521929</xdr:colOff>
      <xdr:row>10</xdr:row>
      <xdr:rowOff>127325</xdr:rowOff>
    </xdr:from>
    <xdr:to>
      <xdr:col>18</xdr:col>
      <xdr:colOff>108856</xdr:colOff>
      <xdr:row>16</xdr:row>
      <xdr:rowOff>150651</xdr:rowOff>
    </xdr:to>
    <xdr:graphicFrame macro="">
      <xdr:nvGraphicFramePr>
        <xdr:cNvPr id="9" name="Chart 8">
          <a:extLst>
            <a:ext uri="{FF2B5EF4-FFF2-40B4-BE49-F238E27FC236}">
              <a16:creationId xmlns:a16="http://schemas.microsoft.com/office/drawing/2014/main" id="{DB663B56-E37F-46E2-B1FC-AD75EC8DF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103028</xdr:colOff>
      <xdr:row>18</xdr:row>
      <xdr:rowOff>91360</xdr:rowOff>
    </xdr:from>
    <xdr:to>
      <xdr:col>6</xdr:col>
      <xdr:colOff>297414</xdr:colOff>
      <xdr:row>25</xdr:row>
      <xdr:rowOff>29156</xdr:rowOff>
    </xdr:to>
    <xdr:graphicFrame macro="">
      <xdr:nvGraphicFramePr>
        <xdr:cNvPr id="11" name="Chart 10">
          <a:extLst>
            <a:ext uri="{FF2B5EF4-FFF2-40B4-BE49-F238E27FC236}">
              <a16:creationId xmlns:a16="http://schemas.microsoft.com/office/drawing/2014/main" id="{4E37D447-6470-4F27-B8AA-EB36434D7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78726</xdr:colOff>
      <xdr:row>18</xdr:row>
      <xdr:rowOff>136071</xdr:rowOff>
    </xdr:from>
    <xdr:to>
      <xdr:col>18</xdr:col>
      <xdr:colOff>102053</xdr:colOff>
      <xdr:row>24</xdr:row>
      <xdr:rowOff>165231</xdr:rowOff>
    </xdr:to>
    <xdr:graphicFrame macro="">
      <xdr:nvGraphicFramePr>
        <xdr:cNvPr id="12" name="Chart 11">
          <a:extLst>
            <a:ext uri="{FF2B5EF4-FFF2-40B4-BE49-F238E27FC236}">
              <a16:creationId xmlns:a16="http://schemas.microsoft.com/office/drawing/2014/main" id="{E3207DC8-EF88-4DFD-A028-4E5829734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47625</xdr:colOff>
      <xdr:row>10</xdr:row>
      <xdr:rowOff>61232</xdr:rowOff>
    </xdr:from>
    <xdr:to>
      <xdr:col>5</xdr:col>
      <xdr:colOff>537482</xdr:colOff>
      <xdr:row>16</xdr:row>
      <xdr:rowOff>156482</xdr:rowOff>
    </xdr:to>
    <xdr:graphicFrame macro="">
      <xdr:nvGraphicFramePr>
        <xdr:cNvPr id="16" name="Chart 15">
          <a:extLst>
            <a:ext uri="{FF2B5EF4-FFF2-40B4-BE49-F238E27FC236}">
              <a16:creationId xmlns:a16="http://schemas.microsoft.com/office/drawing/2014/main" id="{01E7C35A-7F26-470D-BBDD-61A61FAA1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51707</xdr:colOff>
      <xdr:row>11</xdr:row>
      <xdr:rowOff>115117</xdr:rowOff>
    </xdr:from>
    <xdr:to>
      <xdr:col>1</xdr:col>
      <xdr:colOff>503465</xdr:colOff>
      <xdr:row>16</xdr:row>
      <xdr:rowOff>163287</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0FB676FE-B8D3-6D6F-C9CE-A1927860750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707" y="2135778"/>
              <a:ext cx="1064079" cy="966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306159</xdr:colOff>
      <xdr:row>4</xdr:row>
      <xdr:rowOff>139337</xdr:rowOff>
    </xdr:from>
    <xdr:to>
      <xdr:col>20</xdr:col>
      <xdr:colOff>517070</xdr:colOff>
      <xdr:row>35</xdr:row>
      <xdr:rowOff>61232</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31045094-F572-CD36-D40B-BF09FE82E3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327945" y="874123"/>
              <a:ext cx="1435554" cy="5616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25309</xdr:colOff>
      <xdr:row>17</xdr:row>
      <xdr:rowOff>88719</xdr:rowOff>
    </xdr:from>
    <xdr:to>
      <xdr:col>1</xdr:col>
      <xdr:colOff>517072</xdr:colOff>
      <xdr:row>34</xdr:row>
      <xdr:rowOff>61232</xdr:rowOff>
    </xdr:to>
    <mc:AlternateContent xmlns:mc="http://schemas.openxmlformats.org/markup-compatibility/2006" xmlns:a14="http://schemas.microsoft.com/office/drawing/2010/main">
      <mc:Choice Requires="a14">
        <xdr:graphicFrame macro="">
          <xdr:nvGraphicFramePr>
            <xdr:cNvPr id="19" name="City 1">
              <a:extLst>
                <a:ext uri="{FF2B5EF4-FFF2-40B4-BE49-F238E27FC236}">
                  <a16:creationId xmlns:a16="http://schemas.microsoft.com/office/drawing/2014/main" id="{8E08E4B5-AD32-E91D-7A48-E2A735A627A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5309" y="3211558"/>
              <a:ext cx="1104084" cy="3095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34018</xdr:colOff>
      <xdr:row>4</xdr:row>
      <xdr:rowOff>146959</xdr:rowOff>
    </xdr:from>
    <xdr:to>
      <xdr:col>1</xdr:col>
      <xdr:colOff>517072</xdr:colOff>
      <xdr:row>11</xdr:row>
      <xdr:rowOff>54428</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9C50AF86-8CA7-A9B1-5434-2F0BE88CEFB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4018" y="881745"/>
              <a:ext cx="1095375" cy="1193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54428</xdr:colOff>
      <xdr:row>26</xdr:row>
      <xdr:rowOff>176893</xdr:rowOff>
    </xdr:from>
    <xdr:to>
      <xdr:col>14</xdr:col>
      <xdr:colOff>503464</xdr:colOff>
      <xdr:row>34</xdr:row>
      <xdr:rowOff>13606</xdr:rowOff>
    </xdr:to>
    <xdr:graphicFrame macro="">
      <xdr:nvGraphicFramePr>
        <xdr:cNvPr id="22" name="Chart 21">
          <a:extLst>
            <a:ext uri="{FF2B5EF4-FFF2-40B4-BE49-F238E27FC236}">
              <a16:creationId xmlns:a16="http://schemas.microsoft.com/office/drawing/2014/main" id="{1F0C5E4E-AEFA-454B-81B9-CA4C73F2D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421821</xdr:colOff>
      <xdr:row>5</xdr:row>
      <xdr:rowOff>13606</xdr:rowOff>
    </xdr:from>
    <xdr:to>
      <xdr:col>18</xdr:col>
      <xdr:colOff>272143</xdr:colOff>
      <xdr:row>9</xdr:row>
      <xdr:rowOff>6803</xdr:rowOff>
    </xdr:to>
    <xdr:sp macro="" textlink="">
      <xdr:nvSpPr>
        <xdr:cNvPr id="20" name="Rectangle: Rounded Corners 19">
          <a:extLst>
            <a:ext uri="{FF2B5EF4-FFF2-40B4-BE49-F238E27FC236}">
              <a16:creationId xmlns:a16="http://schemas.microsoft.com/office/drawing/2014/main" id="{DF841B3D-8A36-4F48-8556-2191E209E4DE}"/>
            </a:ext>
          </a:extLst>
        </xdr:cNvPr>
        <xdr:cNvSpPr/>
      </xdr:nvSpPr>
      <xdr:spPr>
        <a:xfrm>
          <a:off x="9606642" y="932088"/>
          <a:ext cx="1687287" cy="727983"/>
        </a:xfrm>
        <a:prstGeom prst="roundRect">
          <a:avLst/>
        </a:prstGeom>
        <a:ln>
          <a:solidFill>
            <a:srgbClr val="FFC000"/>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0" i="0" u="none" strike="noStrike" baseline="0">
              <a:solidFill>
                <a:schemeClr val="bg1"/>
              </a:solidFill>
              <a:effectLst/>
              <a:latin typeface="+mn-lt"/>
              <a:ea typeface="+mn-ea"/>
              <a:cs typeface="+mn-cs"/>
            </a:rPr>
            <a:t>               </a:t>
          </a:r>
          <a:r>
            <a:rPr lang="en-IN" sz="1600" b="1" i="0" u="none" strike="noStrike" baseline="0">
              <a:solidFill>
                <a:schemeClr val="bg1"/>
              </a:solidFill>
              <a:effectLst/>
              <a:latin typeface="+mn-lt"/>
              <a:ea typeface="+mn-ea"/>
              <a:cs typeface="+mn-cs"/>
            </a:rPr>
            <a:t>AVG VALUE</a:t>
          </a:r>
          <a:r>
            <a:rPr lang="en-IN" sz="1600" b="1" i="0" u="none" strike="noStrike" baseline="0">
              <a:solidFill>
                <a:srgbClr val="FFC000"/>
              </a:solidFill>
              <a:effectLst/>
              <a:latin typeface="+mn-lt"/>
              <a:ea typeface="+mn-ea"/>
              <a:cs typeface="+mn-cs"/>
            </a:rPr>
            <a:t>  </a:t>
          </a:r>
        </a:p>
        <a:p>
          <a:pPr algn="l"/>
          <a:r>
            <a:rPr lang="en-IN" sz="1600" b="1" i="0" u="none" strike="noStrike">
              <a:solidFill>
                <a:srgbClr val="FFC000"/>
              </a:solidFill>
              <a:effectLst/>
              <a:latin typeface="+mn-lt"/>
              <a:ea typeface="+mn-ea"/>
              <a:cs typeface="+mn-cs"/>
            </a:rPr>
            <a:t>              </a:t>
          </a:r>
          <a:r>
            <a:rPr lang="en-IN" sz="1600" b="1">
              <a:solidFill>
                <a:srgbClr val="FFC000"/>
              </a:solidFill>
            </a:rPr>
            <a:t>₹</a:t>
          </a:r>
          <a:r>
            <a:rPr lang="en-IN" sz="1600" b="1" i="0" u="none" strike="noStrike">
              <a:solidFill>
                <a:srgbClr val="FFC000"/>
              </a:solidFill>
              <a:effectLst/>
              <a:latin typeface="+mn-lt"/>
              <a:ea typeface="+mn-ea"/>
              <a:cs typeface="+mn-cs"/>
            </a:rPr>
            <a:t> </a:t>
          </a:r>
          <a:r>
            <a:rPr lang="en-IN" sz="1600" b="1" i="0" u="none" strike="noStrike" baseline="0">
              <a:solidFill>
                <a:srgbClr val="FFC000"/>
              </a:solidFill>
              <a:effectLst/>
              <a:latin typeface="+mn-lt"/>
              <a:ea typeface="+mn-ea"/>
              <a:cs typeface="+mn-cs"/>
            </a:rPr>
            <a:t>4,725</a:t>
          </a:r>
          <a:r>
            <a:rPr lang="en-IN" sz="1600" b="1" i="0" u="none" strike="noStrike">
              <a:solidFill>
                <a:srgbClr val="FFC000"/>
              </a:solidFill>
              <a:effectLst/>
              <a:latin typeface="+mn-lt"/>
              <a:ea typeface="+mn-ea"/>
              <a:cs typeface="+mn-cs"/>
            </a:rPr>
            <a:t>          </a:t>
          </a:r>
          <a:endParaRPr lang="en-IN" sz="1600" b="1">
            <a:solidFill>
              <a:srgbClr val="FFC000"/>
            </a:solidFill>
          </a:endParaRPr>
        </a:p>
      </xdr:txBody>
    </xdr:sp>
    <xdr:clientData/>
  </xdr:twoCellAnchor>
  <xdr:twoCellAnchor editAs="oneCell">
    <xdr:from>
      <xdr:col>15</xdr:col>
      <xdr:colOff>442233</xdr:colOff>
      <xdr:row>5</xdr:row>
      <xdr:rowOff>102053</xdr:rowOff>
    </xdr:from>
    <xdr:to>
      <xdr:col>16</xdr:col>
      <xdr:colOff>306161</xdr:colOff>
      <xdr:row>8</xdr:row>
      <xdr:rowOff>27214</xdr:rowOff>
    </xdr:to>
    <xdr:pic>
      <xdr:nvPicPr>
        <xdr:cNvPr id="24" name="Graphic 23" descr="Bar chart with solid fill">
          <a:extLst>
            <a:ext uri="{FF2B5EF4-FFF2-40B4-BE49-F238E27FC236}">
              <a16:creationId xmlns:a16="http://schemas.microsoft.com/office/drawing/2014/main" id="{8C31F766-6538-CC26-4F55-7B52EAE60CFB}"/>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627054" y="1020535"/>
          <a:ext cx="476250" cy="476250"/>
        </a:xfrm>
        <a:prstGeom prst="rect">
          <a:avLst/>
        </a:prstGeom>
      </xdr:spPr>
    </xdr:pic>
    <xdr:clientData/>
  </xdr:twoCellAnchor>
  <xdr:twoCellAnchor editAs="oneCell">
    <xdr:from>
      <xdr:col>5</xdr:col>
      <xdr:colOff>517072</xdr:colOff>
      <xdr:row>18</xdr:row>
      <xdr:rowOff>129267</xdr:rowOff>
    </xdr:from>
    <xdr:to>
      <xdr:col>6</xdr:col>
      <xdr:colOff>306160</xdr:colOff>
      <xdr:row>20</xdr:row>
      <xdr:rowOff>163284</xdr:rowOff>
    </xdr:to>
    <xdr:pic>
      <xdr:nvPicPr>
        <xdr:cNvPr id="26" name="Graphic 25" descr="Dress with solid fill">
          <a:extLst>
            <a:ext uri="{FF2B5EF4-FFF2-40B4-BE49-F238E27FC236}">
              <a16:creationId xmlns:a16="http://schemas.microsoft.com/office/drawing/2014/main" id="{90268D58-5116-E69F-3754-44CA4D6CC6D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578679" y="3435803"/>
          <a:ext cx="401410" cy="401410"/>
        </a:xfrm>
        <a:prstGeom prst="rect">
          <a:avLst/>
        </a:prstGeom>
      </xdr:spPr>
    </xdr:pic>
    <xdr:clientData/>
  </xdr:twoCellAnchor>
</xdr:wsDr>
</file>

<file path=xl/drawings/drawing14.xml><?xml version="1.0" encoding="utf-8"?>
<c:userShapes xmlns:c="http://schemas.openxmlformats.org/drawingml/2006/chart">
  <cdr:relSizeAnchor xmlns:cdr="http://schemas.openxmlformats.org/drawingml/2006/chartDrawing">
    <cdr:from>
      <cdr:x>0.01788</cdr:x>
      <cdr:y>0.0469</cdr:y>
    </cdr:from>
    <cdr:to>
      <cdr:x>0.14227</cdr:x>
      <cdr:y>0.37323</cdr:y>
    </cdr:to>
    <cdr:pic>
      <cdr:nvPicPr>
        <cdr:cNvPr id="3" name="Graphic 2" descr="Shopping cart with solid fill">
          <a:extLst xmlns:a="http://schemas.openxmlformats.org/drawingml/2006/main">
            <a:ext uri="{FF2B5EF4-FFF2-40B4-BE49-F238E27FC236}">
              <a16:creationId xmlns:a16="http://schemas.microsoft.com/office/drawing/2014/main" id="{20BEC96B-923B-6CBF-D4DD-AD260BF8586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0442" y="50442"/>
          <a:ext cx="350968" cy="350968"/>
        </a:xfrm>
        <a:prstGeom xmlns:a="http://schemas.openxmlformats.org/drawingml/2006/main" prst="rect">
          <a:avLst/>
        </a:prstGeom>
      </cdr:spPr>
    </cdr:pic>
  </cdr:relSizeAnchor>
</c:userShapes>
</file>

<file path=xl/drawings/drawing15.xml><?xml version="1.0" encoding="utf-8"?>
<c:userShapes xmlns:c="http://schemas.openxmlformats.org/drawingml/2006/chart">
  <cdr:relSizeAnchor xmlns:cdr="http://schemas.openxmlformats.org/drawingml/2006/chartDrawing">
    <cdr:from>
      <cdr:x>0.79739</cdr:x>
      <cdr:y>0</cdr:y>
    </cdr:from>
    <cdr:to>
      <cdr:x>1</cdr:x>
      <cdr:y>0.39725</cdr:y>
    </cdr:to>
    <cdr:pic>
      <cdr:nvPicPr>
        <cdr:cNvPr id="5" name="Graphic 4" descr="Children with solid fill">
          <a:extLst xmlns:a="http://schemas.openxmlformats.org/drawingml/2006/main">
            <a:ext uri="{FF2B5EF4-FFF2-40B4-BE49-F238E27FC236}">
              <a16:creationId xmlns:a16="http://schemas.microsoft.com/office/drawing/2014/main" id="{674789F4-3273-ECDE-6AD8-36F770D0D78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545383" y="0"/>
          <a:ext cx="392662" cy="392662"/>
        </a:xfrm>
        <a:prstGeom xmlns:a="http://schemas.openxmlformats.org/drawingml/2006/main" prst="rect">
          <a:avLst/>
        </a:prstGeom>
      </cdr:spPr>
    </cdr:pic>
  </cdr:relSizeAnchor>
</c:userShapes>
</file>

<file path=xl/drawings/drawing16.xml><?xml version="1.0" encoding="utf-8"?>
<c:userShapes xmlns:c="http://schemas.openxmlformats.org/drawingml/2006/chart">
  <cdr:relSizeAnchor xmlns:cdr="http://schemas.openxmlformats.org/drawingml/2006/chartDrawing">
    <cdr:from>
      <cdr:x>0</cdr:x>
      <cdr:y>0.14508</cdr:y>
    </cdr:from>
    <cdr:to>
      <cdr:x>0.15036</cdr:x>
      <cdr:y>0.48964</cdr:y>
    </cdr:to>
    <cdr:pic>
      <cdr:nvPicPr>
        <cdr:cNvPr id="3" name="Graphic 2" descr="Bar graph with upward trend with solid fill">
          <a:extLst xmlns:a="http://schemas.openxmlformats.org/drawingml/2006/main">
            <a:ext uri="{FF2B5EF4-FFF2-40B4-BE49-F238E27FC236}">
              <a16:creationId xmlns:a16="http://schemas.microsoft.com/office/drawing/2014/main" id="{9D8AE38C-CF41-1249-5DFB-4CFD81AE8D9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163285"/>
          <a:ext cx="306160" cy="387804"/>
        </a:xfrm>
        <a:prstGeom xmlns:a="http://schemas.openxmlformats.org/drawingml/2006/main" prst="rect">
          <a:avLst/>
        </a:prstGeom>
      </cdr:spPr>
    </cdr:pic>
  </cdr:relSizeAnchor>
</c:userShapes>
</file>

<file path=xl/drawings/drawing17.xml><?xml version="1.0" encoding="utf-8"?>
<c:userShapes xmlns:c="http://schemas.openxmlformats.org/drawingml/2006/chart">
  <cdr:relSizeAnchor xmlns:cdr="http://schemas.openxmlformats.org/drawingml/2006/chartDrawing">
    <cdr:from>
      <cdr:x>0.25971</cdr:x>
      <cdr:y>0</cdr:y>
    </cdr:from>
    <cdr:to>
      <cdr:x>0.33664</cdr:x>
      <cdr:y>0.39691</cdr:y>
    </cdr:to>
    <cdr:pic>
      <cdr:nvPicPr>
        <cdr:cNvPr id="3" name="Graphic 2" descr="Europe with solid fill">
          <a:extLst xmlns:a="http://schemas.openxmlformats.org/drawingml/2006/main">
            <a:ext uri="{FF2B5EF4-FFF2-40B4-BE49-F238E27FC236}">
              <a16:creationId xmlns:a16="http://schemas.microsoft.com/office/drawing/2014/main" id="{32FFF9C7-61C3-CBFF-1F65-391DF85CBFA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755322" y="0"/>
          <a:ext cx="519988" cy="449036"/>
        </a:xfrm>
        <a:prstGeom xmlns:a="http://schemas.openxmlformats.org/drawingml/2006/main" prst="rect">
          <a:avLst/>
        </a:prstGeom>
      </cdr:spPr>
    </cdr:pic>
  </cdr:relSizeAnchor>
</c:userShapes>
</file>

<file path=xl/drawings/drawing18.xml><?xml version="1.0" encoding="utf-8"?>
<c:userShapes xmlns:c="http://schemas.openxmlformats.org/drawingml/2006/chart">
  <cdr:relSizeAnchor xmlns:cdr="http://schemas.openxmlformats.org/drawingml/2006/chartDrawing">
    <cdr:from>
      <cdr:x>0</cdr:x>
      <cdr:y>0</cdr:y>
    </cdr:from>
    <cdr:to>
      <cdr:x>0.20468</cdr:x>
      <cdr:y>0.42169</cdr:y>
    </cdr:to>
    <cdr:pic>
      <cdr:nvPicPr>
        <cdr:cNvPr id="3" name="Graphic 2" descr="Money with solid fill">
          <a:extLst xmlns:a="http://schemas.openxmlformats.org/drawingml/2006/main">
            <a:ext uri="{FF2B5EF4-FFF2-40B4-BE49-F238E27FC236}">
              <a16:creationId xmlns:a16="http://schemas.microsoft.com/office/drawing/2014/main" id="{A8275EAD-B4B1-A0BC-BEE3-442564F5EBD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476250" cy="476250"/>
        </a:xfrm>
        <a:prstGeom xmlns:a="http://schemas.openxmlformats.org/drawingml/2006/main" prst="rect">
          <a:avLst/>
        </a:prstGeom>
      </cdr:spPr>
    </cdr:pic>
  </cdr:relSizeAnchor>
</c:userShapes>
</file>

<file path=xl/drawings/drawing19.xml><?xml version="1.0" encoding="utf-8"?>
<c:userShapes xmlns:c="http://schemas.openxmlformats.org/drawingml/2006/chart">
  <cdr:relSizeAnchor xmlns:cdr="http://schemas.openxmlformats.org/drawingml/2006/chartDrawing">
    <cdr:from>
      <cdr:x>0.65358</cdr:x>
      <cdr:y>0</cdr:y>
    </cdr:from>
    <cdr:to>
      <cdr:x>0.7452</cdr:x>
      <cdr:y>0.31078</cdr:y>
    </cdr:to>
    <cdr:pic>
      <cdr:nvPicPr>
        <cdr:cNvPr id="7" name="Graphic 6" descr="Boardroom with solid fill">
          <a:extLst xmlns:a="http://schemas.openxmlformats.org/drawingml/2006/main">
            <a:ext uri="{FF2B5EF4-FFF2-40B4-BE49-F238E27FC236}">
              <a16:creationId xmlns:a16="http://schemas.microsoft.com/office/drawing/2014/main" id="{1FB07254-BFE7-9346-A825-EC98AD81DA5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095874" y="0"/>
          <a:ext cx="714375" cy="405968"/>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mana" refreshedDate="46233.581849652779" missingItemsLimit="0" createdVersion="8" refreshedVersion="8" minRefreshableVersion="3" recordCount="140" xr:uid="{38624D60-8893-4117-8FCA-19369B3D8A1C}">
  <cacheSource type="worksheet">
    <worksheetSource ref="A1:S141" sheet="PROCESSED_DATA"/>
  </cacheSource>
  <cacheFields count="19">
    <cacheField name="Index" numFmtId="0">
      <sharedItems containsSemiMixedTypes="0" containsString="0" containsNumber="1" containsInteger="1" minValue="1" maxValue="140"/>
    </cacheField>
    <cacheField name="OrderID" numFmtId="0">
      <sharedItems/>
    </cacheField>
    <cacheField name="CustomerID" numFmtId="0">
      <sharedItems/>
    </cacheField>
    <cacheField name="Gender" numFmtId="0">
      <sharedItems count="2">
        <s v="Male"/>
        <s v="Female"/>
      </sharedItems>
    </cacheField>
    <cacheField name="CustomerName" numFmtId="0">
      <sharedItems/>
    </cacheField>
    <cacheField name="Date" numFmtId="14">
      <sharedItems containsSemiMixedTypes="0" containsNonDate="0" containsDate="1" containsString="0" minDate="2026-04-01T00:00:00" maxDate="2026-06-16T00:00:00"/>
    </cacheField>
    <cacheField name="Category" numFmtId="0">
      <sharedItems count="23">
        <s v="OversizedT-Shirt"/>
        <s v="Cotton-Kurti"/>
        <s v="Denim-Jacket"/>
        <s v="Floral-Dress"/>
        <s v="CargoPants"/>
        <s v="Hoodie"/>
        <s v="PoloT-Shirt"/>
        <s v="EthnicSet"/>
        <s v="Jeans"/>
        <s v="CropTop"/>
        <s v="Sweatshirt"/>
        <s v="Maxi-Dress"/>
        <s v="FormalShirt"/>
        <s v="Palazzo-Pants"/>
        <s v="Tracksuit"/>
        <s v="Saree"/>
        <s v="Jumbosuit"/>
        <s v="Co-ordSet"/>
        <s v="Blazer"/>
        <s v="Denim-Skirt"/>
        <s v="Kurti"/>
        <s v="Casual-Shirt"/>
        <s v="Denim-Shirt"/>
      </sharedItems>
    </cacheField>
    <cacheField name="Size" numFmtId="0">
      <sharedItems/>
    </cacheField>
    <cacheField name="City" numFmtId="0">
      <sharedItems count="10">
        <s v="Bangalore"/>
        <s v="Mysore"/>
        <s v="Chennai"/>
        <s v="Hyderabad"/>
        <s v="Pune"/>
        <s v="Kochi"/>
        <s v="Mumbai"/>
        <s v="Delhi"/>
        <s v="Jaipur"/>
        <s v="Ahmedabad"/>
      </sharedItems>
    </cacheField>
    <cacheField name="DeliveryStatus" numFmtId="0">
      <sharedItems count="3">
        <s v="Delivered"/>
        <s v="Shipped"/>
        <s v="Processing"/>
      </sharedItems>
    </cacheField>
    <cacheField name="Price" numFmtId="0">
      <sharedItems containsSemiMixedTypes="0" containsString="0" containsNumber="1" containsInteger="1" minValue="400" maxValue="2999"/>
    </cacheField>
    <cacheField name="Qty" numFmtId="0">
      <sharedItems containsSemiMixedTypes="0" containsString="0" containsNumber="1" containsInteger="1" minValue="10" maxValue="30"/>
    </cacheField>
    <cacheField name="Month" numFmtId="0">
      <sharedItems count="3">
        <s v="April"/>
        <s v="May"/>
        <s v="June"/>
      </sharedItems>
    </cacheField>
    <cacheField name="UnitsSold" numFmtId="0">
      <sharedItems containsSemiMixedTypes="0" containsString="0" containsNumber="1" containsInteger="1" minValue="1" maxValue="12"/>
    </cacheField>
    <cacheField name="Revenue" numFmtId="0">
      <sharedItems containsSemiMixedTypes="0" containsString="0" containsNumber="1" containsInteger="1" minValue="600" maxValue="35988"/>
    </cacheField>
    <cacheField name="SellThroughRate%" numFmtId="164">
      <sharedItems containsSemiMixedTypes="0" containsString="0" containsNumber="1" minValue="10" maxValue="100"/>
    </cacheField>
    <cacheField name="PaymentMethod" numFmtId="0">
      <sharedItems count="3">
        <s v="UPI"/>
        <s v="NetBanking"/>
        <s v="Cash"/>
      </sharedItems>
    </cacheField>
    <cacheField name="CustomerRating" numFmtId="0">
      <sharedItems containsSemiMixedTypes="0" containsString="0" containsNumber="1" minValue="3.9" maxValue="4.9000000000000004"/>
    </cacheField>
    <cacheField name="Currency" numFmtId="0">
      <sharedItems/>
    </cacheField>
  </cacheFields>
  <extLst>
    <ext xmlns:x14="http://schemas.microsoft.com/office/spreadsheetml/2009/9/main" uri="{725AE2AE-9491-48be-B2B4-4EB974FC3084}">
      <x14:pivotCacheDefinition pivotCacheId="1209393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n v="1"/>
    <s v="SR101"/>
    <s v="C1001"/>
    <x v="0"/>
    <s v="Aaravsharma"/>
    <d v="2026-04-01T00:00:00"/>
    <x v="0"/>
    <s v="L"/>
    <x v="0"/>
    <x v="0"/>
    <n v="600"/>
    <n v="10"/>
    <x v="0"/>
    <n v="5"/>
    <n v="3000"/>
    <n v="50"/>
    <x v="0"/>
    <n v="4.5999999999999996"/>
    <s v="INR"/>
  </r>
  <r>
    <n v="2"/>
    <s v="SR102"/>
    <s v="C1002"/>
    <x v="1"/>
    <s v="Priya Nair"/>
    <d v="2026-04-01T00:00:00"/>
    <x v="1"/>
    <s v="M"/>
    <x v="0"/>
    <x v="0"/>
    <n v="800"/>
    <n v="20"/>
    <x v="0"/>
    <n v="12"/>
    <n v="9600"/>
    <n v="60"/>
    <x v="0"/>
    <n v="4.3"/>
    <s v="INR"/>
  </r>
  <r>
    <n v="3"/>
    <s v="SR103"/>
    <s v="C1003"/>
    <x v="0"/>
    <s v="Rohan Verma"/>
    <d v="2026-04-02T00:00:00"/>
    <x v="2"/>
    <s v="L"/>
    <x v="0"/>
    <x v="0"/>
    <n v="800"/>
    <n v="15"/>
    <x v="0"/>
    <n v="9"/>
    <n v="7200"/>
    <n v="60"/>
    <x v="0"/>
    <n v="4.5"/>
    <s v="INR"/>
  </r>
  <r>
    <n v="4"/>
    <s v="SR104"/>
    <s v="C1004"/>
    <x v="1"/>
    <s v="Ananya Rao"/>
    <d v="2026-04-02T00:00:00"/>
    <x v="3"/>
    <s v="M"/>
    <x v="1"/>
    <x v="0"/>
    <n v="700"/>
    <n v="10"/>
    <x v="0"/>
    <n v="6"/>
    <n v="4200"/>
    <n v="60"/>
    <x v="0"/>
    <n v="4.7"/>
    <s v="INR"/>
  </r>
  <r>
    <n v="5"/>
    <s v="SR105"/>
    <s v="C1005"/>
    <x v="0"/>
    <s v="Karthik Reddy"/>
    <d v="2026-04-03T00:00:00"/>
    <x v="4"/>
    <s v="XL"/>
    <x v="2"/>
    <x v="1"/>
    <n v="800"/>
    <n v="15"/>
    <x v="0"/>
    <n v="5"/>
    <n v="4000"/>
    <n v="33.333333333333329"/>
    <x v="1"/>
    <n v="4.2"/>
    <s v="INR"/>
  </r>
  <r>
    <n v="6"/>
    <s v="SR106"/>
    <s v="C1006"/>
    <x v="1"/>
    <s v="Meeraiyer"/>
    <d v="2026-04-03T00:00:00"/>
    <x v="5"/>
    <s v="M"/>
    <x v="3"/>
    <x v="0"/>
    <n v="700"/>
    <n v="14"/>
    <x v="0"/>
    <n v="4"/>
    <n v="2800"/>
    <n v="28.571428571428569"/>
    <x v="0"/>
    <n v="4.8"/>
    <s v="INR"/>
  </r>
  <r>
    <n v="7"/>
    <s v="SR107"/>
    <s v="C1007"/>
    <x v="0"/>
    <s v="Adityasingh"/>
    <d v="2026-04-04T00:00:00"/>
    <x v="6"/>
    <s v="L"/>
    <x v="4"/>
    <x v="2"/>
    <n v="800"/>
    <n v="12"/>
    <x v="0"/>
    <n v="2"/>
    <n v="1600"/>
    <n v="16.666666666666664"/>
    <x v="2"/>
    <n v="4.0999999999999996"/>
    <s v="INR"/>
  </r>
  <r>
    <n v="8"/>
    <s v="SR108"/>
    <s v="C1008"/>
    <x v="1"/>
    <s v="Snehakapoor"/>
    <d v="2026-04-04T00:00:00"/>
    <x v="7"/>
    <s v="XL"/>
    <x v="5"/>
    <x v="0"/>
    <n v="1500"/>
    <n v="15"/>
    <x v="0"/>
    <n v="5"/>
    <n v="7500"/>
    <n v="33.333333333333329"/>
    <x v="0"/>
    <n v="4.9000000000000004"/>
    <s v="INR"/>
  </r>
  <r>
    <n v="9"/>
    <s v="SR109"/>
    <s v="C1009"/>
    <x v="0"/>
    <s v="Vivekjoshi"/>
    <d v="2026-04-05T00:00:00"/>
    <x v="8"/>
    <s v="M"/>
    <x v="6"/>
    <x v="0"/>
    <n v="899"/>
    <n v="25"/>
    <x v="0"/>
    <n v="3"/>
    <n v="2697"/>
    <n v="12"/>
    <x v="0"/>
    <n v="4.3"/>
    <s v="INR"/>
  </r>
  <r>
    <n v="10"/>
    <s v="SR110"/>
    <s v="C1010"/>
    <x v="1"/>
    <s v="Poojamenon"/>
    <d v="2026-04-05T00:00:00"/>
    <x v="9"/>
    <s v="L"/>
    <x v="0"/>
    <x v="1"/>
    <n v="600"/>
    <n v="10"/>
    <x v="0"/>
    <n v="5"/>
    <n v="3000"/>
    <n v="50"/>
    <x v="1"/>
    <n v="4.5999999999999996"/>
    <s v="INR"/>
  </r>
  <r>
    <n v="11"/>
    <s v="SR111"/>
    <s v="C1011"/>
    <x v="0"/>
    <s v="Nikhildas"/>
    <d v="2026-04-06T00:00:00"/>
    <x v="10"/>
    <s v="XL"/>
    <x v="2"/>
    <x v="0"/>
    <n v="400"/>
    <n v="12"/>
    <x v="0"/>
    <n v="6"/>
    <n v="2400"/>
    <n v="50"/>
    <x v="0"/>
    <n v="4.0999999999999996"/>
    <s v="INR"/>
  </r>
  <r>
    <n v="12"/>
    <s v="SR112"/>
    <s v="C1012"/>
    <x v="1"/>
    <s v="Aishakhan"/>
    <d v="2026-04-06T00:00:00"/>
    <x v="11"/>
    <s v="S"/>
    <x v="3"/>
    <x v="0"/>
    <n v="900"/>
    <n v="16"/>
    <x v="0"/>
    <n v="6"/>
    <n v="5400"/>
    <n v="37.5"/>
    <x v="0"/>
    <n v="4.4000000000000004"/>
    <s v="INR"/>
  </r>
  <r>
    <n v="13"/>
    <s v="SR113"/>
    <s v="C1013"/>
    <x v="0"/>
    <s v="Harshpatel"/>
    <d v="2026-04-07T00:00:00"/>
    <x v="12"/>
    <s v="L"/>
    <x v="4"/>
    <x v="0"/>
    <n v="800"/>
    <n v="14"/>
    <x v="0"/>
    <n v="4"/>
    <n v="3200"/>
    <n v="28.571428571428569"/>
    <x v="2"/>
    <n v="4.2"/>
    <s v="INR"/>
  </r>
  <r>
    <n v="14"/>
    <s v="SR114"/>
    <s v="C1014"/>
    <x v="1"/>
    <s v="Diyashetty"/>
    <d v="2026-04-07T00:00:00"/>
    <x v="13"/>
    <s v="M"/>
    <x v="5"/>
    <x v="0"/>
    <n v="800"/>
    <n v="12"/>
    <x v="0"/>
    <n v="2"/>
    <n v="1600"/>
    <n v="16.666666666666664"/>
    <x v="0"/>
    <n v="4.8"/>
    <s v="INR"/>
  </r>
  <r>
    <n v="15"/>
    <s v="SR115"/>
    <s v="C1015"/>
    <x v="0"/>
    <s v="Yashmalhotra"/>
    <d v="2026-04-08T00:00:00"/>
    <x v="14"/>
    <s v="XL"/>
    <x v="6"/>
    <x v="1"/>
    <n v="900"/>
    <n v="15"/>
    <x v="0"/>
    <n v="5"/>
    <n v="4500"/>
    <n v="33.333333333333329"/>
    <x v="0"/>
    <n v="4.5"/>
    <s v="INR"/>
  </r>
  <r>
    <n v="16"/>
    <s v="SR116"/>
    <s v="C1016"/>
    <x v="1"/>
    <s v="Riyakulkarni"/>
    <d v="2026-04-08T00:00:00"/>
    <x v="15"/>
    <s v="M"/>
    <x v="0"/>
    <x v="0"/>
    <n v="2999"/>
    <n v="18"/>
    <x v="0"/>
    <n v="3"/>
    <n v="8997"/>
    <n v="16.666666666666664"/>
    <x v="1"/>
    <n v="4.5999999999999996"/>
    <s v="INR"/>
  </r>
  <r>
    <n v="17"/>
    <s v="SR117"/>
    <s v="C1017"/>
    <x v="0"/>
    <s v="Devmehta"/>
    <d v="2026-04-09T00:00:00"/>
    <x v="16"/>
    <s v="XL"/>
    <x v="2"/>
    <x v="0"/>
    <n v="900"/>
    <n v="12"/>
    <x v="0"/>
    <n v="2"/>
    <n v="1800"/>
    <n v="16.666666666666664"/>
    <x v="0"/>
    <n v="4.9000000000000004"/>
    <s v="INR"/>
  </r>
  <r>
    <n v="18"/>
    <s v="SR118"/>
    <s v="C1018"/>
    <x v="1"/>
    <s v="Tanvijain"/>
    <d v="2026-04-09T00:00:00"/>
    <x v="17"/>
    <s v="FreeSize"/>
    <x v="3"/>
    <x v="0"/>
    <n v="800"/>
    <n v="10"/>
    <x v="0"/>
    <n v="5"/>
    <n v="4000"/>
    <n v="50"/>
    <x v="0"/>
    <n v="4.7"/>
    <s v="INR"/>
  </r>
  <r>
    <n v="19"/>
    <s v="SR119"/>
    <s v="C1019"/>
    <x v="0"/>
    <s v="Aryangupta"/>
    <d v="2026-04-10T00:00:00"/>
    <x v="18"/>
    <s v="M"/>
    <x v="4"/>
    <x v="2"/>
    <n v="900"/>
    <n v="10"/>
    <x v="0"/>
    <n v="7"/>
    <n v="6300"/>
    <n v="70"/>
    <x v="2"/>
    <n v="4.0999999999999996"/>
    <s v="INR"/>
  </r>
  <r>
    <n v="20"/>
    <s v="SR120"/>
    <s v="C1020"/>
    <x v="1"/>
    <s v="Ishitabansal"/>
    <d v="2026-04-10T00:00:00"/>
    <x v="19"/>
    <s v="L"/>
    <x v="5"/>
    <x v="0"/>
    <n v="900"/>
    <n v="12"/>
    <x v="0"/>
    <n v="2"/>
    <n v="1800"/>
    <n v="16.666666666666664"/>
    <x v="0"/>
    <n v="4.8"/>
    <s v="INR"/>
  </r>
  <r>
    <n v="21"/>
    <s v="SR121"/>
    <s v="C1021"/>
    <x v="0"/>
    <s v="Akashkumar"/>
    <d v="2026-04-11T00:00:00"/>
    <x v="5"/>
    <s v="XL"/>
    <x v="6"/>
    <x v="0"/>
    <n v="700"/>
    <n v="10"/>
    <x v="0"/>
    <n v="8"/>
    <n v="5600"/>
    <n v="80"/>
    <x v="1"/>
    <n v="4.4000000000000004"/>
    <s v="INR"/>
  </r>
  <r>
    <n v="22"/>
    <s v="SR122"/>
    <s v="C1022"/>
    <x v="1"/>
    <s v="Nehasharma"/>
    <d v="2026-04-11T00:00:00"/>
    <x v="20"/>
    <s v="S"/>
    <x v="0"/>
    <x v="0"/>
    <n v="899"/>
    <n v="14"/>
    <x v="0"/>
    <n v="4"/>
    <n v="3596"/>
    <n v="28.571428571428569"/>
    <x v="0"/>
    <n v="4.5999999999999996"/>
    <s v="INR"/>
  </r>
  <r>
    <n v="23"/>
    <s v="SR123"/>
    <s v="C1023"/>
    <x v="0"/>
    <s v="Rahuljain"/>
    <d v="2026-04-12T00:00:00"/>
    <x v="8"/>
    <s v="L"/>
    <x v="7"/>
    <x v="0"/>
    <n v="999"/>
    <n v="12"/>
    <x v="0"/>
    <n v="2"/>
    <n v="1998"/>
    <n v="16.666666666666664"/>
    <x v="0"/>
    <n v="4.5"/>
    <s v="INR"/>
  </r>
  <r>
    <n v="24"/>
    <s v="SR124"/>
    <s v="C1024"/>
    <x v="1"/>
    <s v="Kavyanair"/>
    <d v="2026-04-12T00:00:00"/>
    <x v="15"/>
    <s v="M"/>
    <x v="8"/>
    <x v="0"/>
    <n v="2999"/>
    <n v="18"/>
    <x v="0"/>
    <n v="3"/>
    <n v="8997"/>
    <n v="16.666666666666664"/>
    <x v="0"/>
    <n v="4.7"/>
    <s v="INR"/>
  </r>
  <r>
    <n v="25"/>
    <s v="SR125"/>
    <s v="C1025"/>
    <x v="0"/>
    <s v="Sandeeprao"/>
    <d v="2026-04-13T00:00:00"/>
    <x v="6"/>
    <s v="XL"/>
    <x v="9"/>
    <x v="1"/>
    <n v="800"/>
    <n v="12"/>
    <x v="0"/>
    <n v="2"/>
    <n v="1600"/>
    <n v="16.666666666666664"/>
    <x v="1"/>
    <n v="4.3"/>
    <s v="INR"/>
  </r>
  <r>
    <n v="26"/>
    <s v="SR126"/>
    <s v="C1026"/>
    <x v="1"/>
    <s v="Anjalipatel"/>
    <d v="2026-04-13T00:00:00"/>
    <x v="9"/>
    <s v="FreeSize"/>
    <x v="0"/>
    <x v="0"/>
    <n v="600"/>
    <n v="10"/>
    <x v="0"/>
    <n v="5"/>
    <n v="3000"/>
    <n v="50"/>
    <x v="0"/>
    <n v="4.9000000000000004"/>
    <s v="INR"/>
  </r>
  <r>
    <n v="27"/>
    <s v="SR127"/>
    <s v="C1027"/>
    <x v="0"/>
    <s v="Mohitverma"/>
    <d v="2026-04-14T00:00:00"/>
    <x v="4"/>
    <s v="M"/>
    <x v="2"/>
    <x v="0"/>
    <n v="800"/>
    <n v="14"/>
    <x v="0"/>
    <n v="4"/>
    <n v="3200"/>
    <n v="28.571428571428569"/>
    <x v="2"/>
    <n v="4.2"/>
    <s v="INR"/>
  </r>
  <r>
    <n v="28"/>
    <s v="SR128"/>
    <s v="C1028"/>
    <x v="1"/>
    <s v="Ritusingh"/>
    <d v="2026-04-14T00:00:00"/>
    <x v="17"/>
    <s v="S"/>
    <x v="3"/>
    <x v="2"/>
    <n v="600"/>
    <n v="15"/>
    <x v="0"/>
    <n v="5"/>
    <n v="3000"/>
    <n v="33.333333333333329"/>
    <x v="0"/>
    <n v="4.5"/>
    <s v="INR"/>
  </r>
  <r>
    <n v="29"/>
    <s v="SR129"/>
    <s v="C1029"/>
    <x v="0"/>
    <s v="Varunmehta"/>
    <d v="2026-04-15T00:00:00"/>
    <x v="12"/>
    <s v="L"/>
    <x v="4"/>
    <x v="0"/>
    <n v="800"/>
    <n v="12"/>
    <x v="0"/>
    <n v="2"/>
    <n v="1600"/>
    <n v="16.666666666666664"/>
    <x v="0"/>
    <n v="4.5999999999999996"/>
    <s v="INR"/>
  </r>
  <r>
    <n v="30"/>
    <s v="SR130"/>
    <s v="C1030"/>
    <x v="1"/>
    <s v="Simrankaur"/>
    <d v="2026-04-15T00:00:00"/>
    <x v="11"/>
    <s v="M"/>
    <x v="6"/>
    <x v="0"/>
    <n v="900"/>
    <n v="12"/>
    <x v="0"/>
    <n v="2"/>
    <n v="1800"/>
    <n v="16.666666666666664"/>
    <x v="1"/>
    <n v="4.8"/>
    <s v="INR"/>
  </r>
  <r>
    <n v="31"/>
    <s v="SR131"/>
    <s v="C1031"/>
    <x v="0"/>
    <s v="Arjunreddy"/>
    <d v="2026-04-16T00:00:00"/>
    <x v="16"/>
    <s v="XL"/>
    <x v="5"/>
    <x v="1"/>
    <n v="900"/>
    <n v="18"/>
    <x v="0"/>
    <n v="3"/>
    <n v="2700"/>
    <n v="16.666666666666664"/>
    <x v="0"/>
    <n v="4.4000000000000004"/>
    <s v="INR"/>
  </r>
  <r>
    <n v="32"/>
    <s v="SR132"/>
    <s v="C1032"/>
    <x v="1"/>
    <s v="Poojashah"/>
    <d v="2026-04-16T00:00:00"/>
    <x v="7"/>
    <s v="M"/>
    <x v="7"/>
    <x v="0"/>
    <n v="1500"/>
    <n v="12"/>
    <x v="0"/>
    <n v="2"/>
    <n v="3000"/>
    <n v="16.666666666666664"/>
    <x v="0"/>
    <n v="4.7"/>
    <s v="INR"/>
  </r>
  <r>
    <n v="33"/>
    <s v="SR133"/>
    <s v="C1033"/>
    <x v="0"/>
    <s v="Deepaknair"/>
    <d v="2026-04-17T00:00:00"/>
    <x v="10"/>
    <s v="L"/>
    <x v="8"/>
    <x v="0"/>
    <n v="400"/>
    <n v="16"/>
    <x v="0"/>
    <n v="6"/>
    <n v="2400"/>
    <n v="37.5"/>
    <x v="2"/>
    <n v="4.0999999999999996"/>
    <s v="INR"/>
  </r>
  <r>
    <n v="34"/>
    <s v="SR134"/>
    <s v="C1034"/>
    <x v="1"/>
    <s v="Aartimenon"/>
    <d v="2026-04-17T00:00:00"/>
    <x v="13"/>
    <s v="XL"/>
    <x v="9"/>
    <x v="0"/>
    <n v="800"/>
    <n v="10"/>
    <x v="0"/>
    <n v="1"/>
    <n v="800"/>
    <n v="10"/>
    <x v="0"/>
    <n v="4.5999999999999996"/>
    <s v="INR"/>
  </r>
  <r>
    <n v="35"/>
    <s v="SR135"/>
    <s v="C1035"/>
    <x v="0"/>
    <s v="Pranavjoshi"/>
    <d v="2026-04-18T00:00:00"/>
    <x v="18"/>
    <s v="XL"/>
    <x v="0"/>
    <x v="2"/>
    <n v="900"/>
    <n v="18"/>
    <x v="0"/>
    <n v="3"/>
    <n v="2700"/>
    <n v="16.666666666666664"/>
    <x v="1"/>
    <n v="4.2"/>
    <s v="INR"/>
  </r>
  <r>
    <n v="36"/>
    <s v="SR136"/>
    <s v="C1036"/>
    <x v="1"/>
    <s v="Snehalpatil"/>
    <d v="2026-04-18T00:00:00"/>
    <x v="19"/>
    <s v="M"/>
    <x v="2"/>
    <x v="0"/>
    <n v="900"/>
    <n v="14"/>
    <x v="0"/>
    <n v="4"/>
    <n v="3600"/>
    <n v="28.571428571428569"/>
    <x v="0"/>
    <n v="4.8"/>
    <s v="INR"/>
  </r>
  <r>
    <n v="37"/>
    <s v="SR137"/>
    <s v="C1037"/>
    <x v="0"/>
    <s v="Rakeshdas"/>
    <d v="2026-04-19T00:00:00"/>
    <x v="14"/>
    <s v="XL"/>
    <x v="3"/>
    <x v="0"/>
    <n v="900"/>
    <n v="10"/>
    <x v="0"/>
    <n v="1"/>
    <n v="900"/>
    <n v="10"/>
    <x v="0"/>
    <n v="4.5"/>
    <s v="INR"/>
  </r>
  <r>
    <n v="38"/>
    <s v="SR138"/>
    <s v="C1038"/>
    <x v="1"/>
    <s v="Nandinirao"/>
    <d v="2026-04-19T00:00:00"/>
    <x v="20"/>
    <s v="S"/>
    <x v="4"/>
    <x v="1"/>
    <n v="899"/>
    <n v="18"/>
    <x v="0"/>
    <n v="3"/>
    <n v="2697"/>
    <n v="16.666666666666664"/>
    <x v="1"/>
    <n v="4.4000000000000004"/>
    <s v="INR"/>
  </r>
  <r>
    <n v="39"/>
    <s v="SR139"/>
    <s v="C1039"/>
    <x v="0"/>
    <s v="Viveksharma"/>
    <d v="2026-04-20T00:00:00"/>
    <x v="21"/>
    <s v="XXL"/>
    <x v="6"/>
    <x v="0"/>
    <n v="500"/>
    <n v="12"/>
    <x v="0"/>
    <n v="2"/>
    <n v="1000"/>
    <n v="16.666666666666664"/>
    <x v="0"/>
    <n v="4.9000000000000004"/>
    <s v="INR"/>
  </r>
  <r>
    <n v="40"/>
    <s v="SR140"/>
    <s v="C1040"/>
    <x v="1"/>
    <s v="Bhavnajain"/>
    <d v="2026-04-20T00:00:00"/>
    <x v="5"/>
    <s v="L"/>
    <x v="5"/>
    <x v="0"/>
    <n v="700"/>
    <n v="15"/>
    <x v="0"/>
    <n v="5"/>
    <n v="3500"/>
    <n v="33.333333333333329"/>
    <x v="2"/>
    <n v="4.7"/>
    <s v="INR"/>
  </r>
  <r>
    <n v="41"/>
    <s v="SR141"/>
    <s v="C1041"/>
    <x v="0"/>
    <s v="Rohitpatel"/>
    <d v="2026-04-21T00:00:00"/>
    <x v="8"/>
    <s v="M"/>
    <x v="7"/>
    <x v="0"/>
    <n v="999"/>
    <n v="18"/>
    <x v="0"/>
    <n v="3"/>
    <n v="2997"/>
    <n v="16.666666666666664"/>
    <x v="0"/>
    <n v="4.3"/>
    <s v="INR"/>
  </r>
  <r>
    <n v="42"/>
    <s v="SR142"/>
    <s v="C1042"/>
    <x v="1"/>
    <s v="Ishakapoor"/>
    <d v="2026-04-21T00:00:00"/>
    <x v="15"/>
    <s v="XL"/>
    <x v="8"/>
    <x v="2"/>
    <n v="2999"/>
    <n v="12"/>
    <x v="0"/>
    <n v="2"/>
    <n v="5998"/>
    <n v="16.666666666666664"/>
    <x v="0"/>
    <n v="4.0999999999999996"/>
    <s v="INR"/>
  </r>
  <r>
    <n v="43"/>
    <s v="SR143"/>
    <s v="C1043"/>
    <x v="0"/>
    <s v="Kunalsingh"/>
    <d v="2026-04-22T00:00:00"/>
    <x v="6"/>
    <s v="L"/>
    <x v="9"/>
    <x v="0"/>
    <n v="800"/>
    <n v="14"/>
    <x v="0"/>
    <n v="4"/>
    <n v="3200"/>
    <n v="28.571428571428569"/>
    <x v="1"/>
    <n v="4.5999999999999996"/>
    <s v="INR"/>
  </r>
  <r>
    <n v="44"/>
    <s v="SR144"/>
    <s v="C1044"/>
    <x v="1"/>
    <s v="Mehakarora"/>
    <d v="2026-04-22T00:00:00"/>
    <x v="9"/>
    <s v="FreeSize"/>
    <x v="0"/>
    <x v="0"/>
    <n v="600"/>
    <n v="10"/>
    <x v="0"/>
    <n v="1"/>
    <n v="600"/>
    <n v="10"/>
    <x v="0"/>
    <n v="4.8"/>
    <s v="INR"/>
  </r>
  <r>
    <n v="45"/>
    <s v="SR145"/>
    <s v="C1045"/>
    <x v="0"/>
    <s v="Tarunkumar"/>
    <d v="2026-04-23T00:00:00"/>
    <x v="4"/>
    <s v="M"/>
    <x v="2"/>
    <x v="1"/>
    <n v="800"/>
    <n v="15"/>
    <x v="0"/>
    <n v="5"/>
    <n v="4000"/>
    <n v="33.333333333333329"/>
    <x v="0"/>
    <n v="4.4000000000000004"/>
    <s v="INR"/>
  </r>
  <r>
    <n v="46"/>
    <s v="SR146"/>
    <s v="C1046"/>
    <x v="1"/>
    <s v="Shreyanair"/>
    <d v="2026-04-23T00:00:00"/>
    <x v="17"/>
    <s v="S"/>
    <x v="3"/>
    <x v="0"/>
    <n v="600"/>
    <n v="14"/>
    <x v="0"/>
    <n v="4"/>
    <n v="2400"/>
    <n v="28.571428571428569"/>
    <x v="2"/>
    <n v="4.2"/>
    <s v="INR"/>
  </r>
  <r>
    <n v="47"/>
    <s v="SR147"/>
    <s v="C1047"/>
    <x v="0"/>
    <s v="Amangupta"/>
    <d v="2026-04-24T00:00:00"/>
    <x v="12"/>
    <s v="XL"/>
    <x v="4"/>
    <x v="0"/>
    <n v="800"/>
    <n v="18"/>
    <x v="0"/>
    <n v="3"/>
    <n v="2400"/>
    <n v="16.666666666666664"/>
    <x v="0"/>
    <n v="4.7"/>
    <s v="INR"/>
  </r>
  <r>
    <n v="48"/>
    <s v="SR148"/>
    <s v="C1048"/>
    <x v="1"/>
    <s v="Divyareddy"/>
    <d v="2026-04-24T00:00:00"/>
    <x v="11"/>
    <s v="L"/>
    <x v="6"/>
    <x v="0"/>
    <n v="900"/>
    <n v="12"/>
    <x v="0"/>
    <n v="2"/>
    <n v="1800"/>
    <n v="16.666666666666664"/>
    <x v="0"/>
    <n v="4.9000000000000004"/>
    <s v="INR"/>
  </r>
  <r>
    <n v="49"/>
    <s v="SR149"/>
    <s v="C1049"/>
    <x v="0"/>
    <s v="Siddharth Shah"/>
    <d v="2026-04-25T00:00:00"/>
    <x v="16"/>
    <s v="M"/>
    <x v="5"/>
    <x v="2"/>
    <n v="900"/>
    <n v="14"/>
    <x v="0"/>
    <n v="4"/>
    <n v="3600"/>
    <n v="28.571428571428569"/>
    <x v="1"/>
    <n v="4.0999999999999996"/>
    <s v="INR"/>
  </r>
  <r>
    <n v="50"/>
    <s v="SR150"/>
    <s v="C1050"/>
    <x v="1"/>
    <s v="Hariniiyer"/>
    <d v="2026-04-25T00:00:00"/>
    <x v="7"/>
    <s v="XL"/>
    <x v="7"/>
    <x v="0"/>
    <n v="1500"/>
    <n v="12"/>
    <x v="0"/>
    <n v="2"/>
    <n v="3000"/>
    <n v="16.666666666666664"/>
    <x v="0"/>
    <n v="4.8"/>
    <s v="INR"/>
  </r>
  <r>
    <n v="51"/>
    <s v="SR151"/>
    <s v="C1051"/>
    <x v="0"/>
    <s v="Nitinverma"/>
    <d v="2026-04-26T00:00:00"/>
    <x v="10"/>
    <s v="L"/>
    <x v="8"/>
    <x v="0"/>
    <n v="400"/>
    <n v="10"/>
    <x v="0"/>
    <n v="7"/>
    <n v="2800"/>
    <n v="70"/>
    <x v="0"/>
    <n v="4.5"/>
    <s v="INR"/>
  </r>
  <r>
    <n v="52"/>
    <s v="SR152"/>
    <s v="C1052"/>
    <x v="1"/>
    <s v="Ayeshakhan"/>
    <d v="2026-04-26T00:00:00"/>
    <x v="13"/>
    <s v="XL"/>
    <x v="9"/>
    <x v="0"/>
    <n v="800"/>
    <n v="12"/>
    <x v="0"/>
    <n v="2"/>
    <n v="1600"/>
    <n v="16.666666666666664"/>
    <x v="2"/>
    <n v="4.9000000000000004"/>
    <s v="INR"/>
  </r>
  <r>
    <n v="53"/>
    <s v="SR153"/>
    <s v="C1053"/>
    <x v="0"/>
    <s v="Gauravmehta"/>
    <d v="2026-04-27T00:00:00"/>
    <x v="18"/>
    <s v="L"/>
    <x v="0"/>
    <x v="1"/>
    <n v="900"/>
    <n v="18"/>
    <x v="0"/>
    <n v="3"/>
    <n v="2700"/>
    <n v="16.666666666666664"/>
    <x v="0"/>
    <n v="4.2"/>
    <s v="INR"/>
  </r>
  <r>
    <n v="54"/>
    <s v="SR154"/>
    <s v="C1054"/>
    <x v="1"/>
    <s v="Kritikasharma"/>
    <d v="2026-04-27T00:00:00"/>
    <x v="19"/>
    <s v="M"/>
    <x v="2"/>
    <x v="0"/>
    <n v="900"/>
    <n v="15"/>
    <x v="0"/>
    <n v="5"/>
    <n v="4500"/>
    <n v="33.333333333333329"/>
    <x v="0"/>
    <n v="4.7"/>
    <s v="INR"/>
  </r>
  <r>
    <n v="55"/>
    <s v="SR155"/>
    <s v="C1055"/>
    <x v="0"/>
    <s v="Manishrao"/>
    <d v="2026-04-28T00:00:00"/>
    <x v="14"/>
    <s v="XXL"/>
    <x v="3"/>
    <x v="0"/>
    <n v="900"/>
    <n v="12"/>
    <x v="0"/>
    <n v="2"/>
    <n v="1800"/>
    <n v="16.666666666666664"/>
    <x v="1"/>
    <n v="4.8"/>
    <s v="INR"/>
  </r>
  <r>
    <n v="56"/>
    <s v="SR156"/>
    <s v="C1056"/>
    <x v="1"/>
    <s v="Radhikamenon"/>
    <d v="2026-04-28T00:00:00"/>
    <x v="20"/>
    <s v="S"/>
    <x v="4"/>
    <x v="2"/>
    <n v="899"/>
    <n v="14"/>
    <x v="0"/>
    <n v="4"/>
    <n v="3596"/>
    <n v="28.571428571428569"/>
    <x v="2"/>
    <n v="4.2"/>
    <s v="INR"/>
  </r>
  <r>
    <n v="57"/>
    <s v="SR157"/>
    <s v="C1057"/>
    <x v="0"/>
    <s v="Abhishekdas"/>
    <d v="2026-04-29T00:00:00"/>
    <x v="21"/>
    <s v="XL"/>
    <x v="6"/>
    <x v="0"/>
    <n v="500"/>
    <n v="18"/>
    <x v="0"/>
    <n v="3"/>
    <n v="1500"/>
    <n v="16.666666666666664"/>
    <x v="0"/>
    <n v="4.9000000000000004"/>
    <s v="INR"/>
  </r>
  <r>
    <n v="58"/>
    <s v="SR158"/>
    <s v="C1058"/>
    <x v="1"/>
    <s v="Monikajain"/>
    <d v="2026-04-29T00:00:00"/>
    <x v="5"/>
    <s v="M"/>
    <x v="5"/>
    <x v="0"/>
    <n v="700"/>
    <n v="16"/>
    <x v="0"/>
    <n v="6"/>
    <n v="4200"/>
    <n v="37.5"/>
    <x v="0"/>
    <n v="4.8"/>
    <s v="INR"/>
  </r>
  <r>
    <n v="59"/>
    <s v="SR159"/>
    <s v="C1059"/>
    <x v="0"/>
    <s v="Suresh Sharma"/>
    <d v="2026-04-29T00:00:00"/>
    <x v="14"/>
    <s v="L"/>
    <x v="7"/>
    <x v="0"/>
    <n v="900"/>
    <n v="14"/>
    <x v="0"/>
    <n v="4"/>
    <n v="3600"/>
    <n v="28.571428571428569"/>
    <x v="1"/>
    <n v="4.4000000000000004"/>
    <s v="INR"/>
  </r>
  <r>
    <n v="60"/>
    <s v="SR160"/>
    <s v="C1060"/>
    <x v="1"/>
    <s v="Pooja Bhat"/>
    <d v="2026-04-30T00:00:00"/>
    <x v="15"/>
    <s v="XL"/>
    <x v="8"/>
    <x v="1"/>
    <n v="2999"/>
    <n v="18"/>
    <x v="0"/>
    <n v="3"/>
    <n v="8997"/>
    <n v="16.666666666666664"/>
    <x v="0"/>
    <n v="4.5"/>
    <s v="INR"/>
  </r>
  <r>
    <n v="61"/>
    <s v="SR161"/>
    <s v="C1061"/>
    <x v="0"/>
    <s v="Akashnair"/>
    <d v="2026-04-30T00:00:00"/>
    <x v="12"/>
    <s v="L"/>
    <x v="0"/>
    <x v="0"/>
    <n v="800"/>
    <n v="18"/>
    <x v="0"/>
    <n v="3"/>
    <n v="2400"/>
    <n v="16.666666666666664"/>
    <x v="0"/>
    <n v="4.5"/>
    <s v="INR"/>
  </r>
  <r>
    <n v="62"/>
    <s v="SR162"/>
    <s v="C1062"/>
    <x v="1"/>
    <s v="Nishagupta"/>
    <d v="2026-04-30T00:00:00"/>
    <x v="20"/>
    <s v="M"/>
    <x v="7"/>
    <x v="0"/>
    <n v="899"/>
    <n v="12"/>
    <x v="0"/>
    <n v="2"/>
    <n v="1798"/>
    <n v="16.666666666666664"/>
    <x v="0"/>
    <n v="4.8"/>
    <s v="INR"/>
  </r>
  <r>
    <n v="63"/>
    <s v="SR163"/>
    <s v="C1063"/>
    <x v="0"/>
    <s v="Rohityadav"/>
    <d v="2026-05-01T00:00:00"/>
    <x v="8"/>
    <s v="XL"/>
    <x v="6"/>
    <x v="1"/>
    <n v="999"/>
    <n v="12"/>
    <x v="1"/>
    <n v="2"/>
    <n v="1998"/>
    <n v="16.666666666666664"/>
    <x v="1"/>
    <n v="4.2"/>
    <s v="INR"/>
  </r>
  <r>
    <n v="64"/>
    <s v="SR164"/>
    <s v="C1064"/>
    <x v="1"/>
    <s v="Kavyamenon"/>
    <d v="2026-05-01T00:00:00"/>
    <x v="17"/>
    <s v="L"/>
    <x v="5"/>
    <x v="0"/>
    <n v="600"/>
    <n v="10"/>
    <x v="1"/>
    <n v="5"/>
    <n v="3000"/>
    <n v="50"/>
    <x v="0"/>
    <n v="4.7"/>
    <s v="INR"/>
  </r>
  <r>
    <n v="65"/>
    <s v="SR165"/>
    <s v="C1065"/>
    <x v="0"/>
    <s v="Sandeepreddy"/>
    <d v="2026-05-02T00:00:00"/>
    <x v="5"/>
    <s v="XL"/>
    <x v="3"/>
    <x v="2"/>
    <n v="700"/>
    <n v="12"/>
    <x v="1"/>
    <n v="2"/>
    <n v="1400"/>
    <n v="16.666666666666664"/>
    <x v="2"/>
    <n v="4.0999999999999996"/>
    <s v="INR"/>
  </r>
  <r>
    <n v="66"/>
    <s v="SR166"/>
    <s v="C1066"/>
    <x v="1"/>
    <s v="Bhavnashah"/>
    <d v="2026-05-02T00:00:00"/>
    <x v="15"/>
    <s v="FreeSize"/>
    <x v="9"/>
    <x v="0"/>
    <n v="2999"/>
    <n v="10"/>
    <x v="1"/>
    <n v="1"/>
    <n v="2999"/>
    <n v="10"/>
    <x v="0"/>
    <n v="4.9000000000000004"/>
    <s v="INR"/>
  </r>
  <r>
    <n v="67"/>
    <s v="SR167"/>
    <s v="C1067"/>
    <x v="0"/>
    <s v="Manishverma"/>
    <d v="2026-05-03T00:00:00"/>
    <x v="0"/>
    <s v="M"/>
    <x v="2"/>
    <x v="0"/>
    <n v="600"/>
    <n v="15"/>
    <x v="1"/>
    <n v="5"/>
    <n v="3000"/>
    <n v="33.333333333333329"/>
    <x v="0"/>
    <n v="4.4000000000000004"/>
    <s v="INR"/>
  </r>
  <r>
    <n v="68"/>
    <s v="SR168"/>
    <s v="C1068"/>
    <x v="1"/>
    <s v="Aditijoshi"/>
    <d v="2026-05-03T00:00:00"/>
    <x v="13"/>
    <s v="L"/>
    <x v="4"/>
    <x v="1"/>
    <n v="800"/>
    <n v="18"/>
    <x v="1"/>
    <n v="3"/>
    <n v="2400"/>
    <n v="16.666666666666664"/>
    <x v="1"/>
    <n v="4.5999999999999996"/>
    <s v="INR"/>
  </r>
  <r>
    <n v="69"/>
    <s v="SR169"/>
    <s v="C1069"/>
    <x v="0"/>
    <s v="Pranavshetty"/>
    <d v="2026-05-04T00:00:00"/>
    <x v="14"/>
    <s v="XXL"/>
    <x v="1"/>
    <x v="0"/>
    <n v="900"/>
    <n v="12"/>
    <x v="1"/>
    <n v="2"/>
    <n v="1800"/>
    <n v="16.666666666666664"/>
    <x v="0"/>
    <n v="4.8"/>
    <s v="INR"/>
  </r>
  <r>
    <n v="70"/>
    <s v="SR170"/>
    <s v="C1070"/>
    <x v="1"/>
    <s v="Ritukapoor"/>
    <d v="2026-05-04T00:00:00"/>
    <x v="11"/>
    <s v="M"/>
    <x v="8"/>
    <x v="0"/>
    <n v="900"/>
    <n v="12"/>
    <x v="1"/>
    <n v="2"/>
    <n v="1800"/>
    <n v="16.666666666666664"/>
    <x v="0"/>
    <n v="4.7"/>
    <s v="INR"/>
  </r>
  <r>
    <n v="71"/>
    <s v="SR171"/>
    <s v="C1071"/>
    <x v="1"/>
    <s v="Ananyasharma"/>
    <d v="2026-05-05T00:00:00"/>
    <x v="20"/>
    <s v="M"/>
    <x v="0"/>
    <x v="0"/>
    <n v="899"/>
    <n v="14"/>
    <x v="1"/>
    <n v="4"/>
    <n v="3596"/>
    <n v="28.571428571428569"/>
    <x v="0"/>
    <n v="4.8"/>
    <s v="INR"/>
  </r>
  <r>
    <n v="72"/>
    <s v="SR172"/>
    <s v="C1072"/>
    <x v="0"/>
    <s v="Vivekkumar"/>
    <d v="2026-05-05T00:00:00"/>
    <x v="4"/>
    <s v="XL"/>
    <x v="3"/>
    <x v="0"/>
    <n v="800"/>
    <n v="12"/>
    <x v="1"/>
    <n v="2"/>
    <n v="1600"/>
    <n v="16.666666666666664"/>
    <x v="0"/>
    <n v="4.5"/>
    <s v="INR"/>
  </r>
  <r>
    <n v="73"/>
    <s v="SR173"/>
    <s v="C1073"/>
    <x v="1"/>
    <s v="Meeranair"/>
    <d v="2026-05-06T00:00:00"/>
    <x v="15"/>
    <s v="FreeSize"/>
    <x v="2"/>
    <x v="0"/>
    <n v="2999"/>
    <n v="10"/>
    <x v="1"/>
    <n v="8"/>
    <n v="23992"/>
    <n v="80"/>
    <x v="1"/>
    <n v="4.9000000000000004"/>
    <s v="INR"/>
  </r>
  <r>
    <n v="74"/>
    <s v="SR174"/>
    <s v="C1074"/>
    <x v="0"/>
    <s v="Arjunpatel"/>
    <d v="2026-05-06T00:00:00"/>
    <x v="16"/>
    <s v="L"/>
    <x v="4"/>
    <x v="1"/>
    <n v="900"/>
    <n v="15"/>
    <x v="1"/>
    <n v="5"/>
    <n v="4500"/>
    <n v="33.333333333333329"/>
    <x v="0"/>
    <n v="4.2"/>
    <s v="INR"/>
  </r>
  <r>
    <n v="75"/>
    <s v="SR175"/>
    <s v="C1075"/>
    <x v="1"/>
    <s v="Snehareddy"/>
    <d v="2026-05-07T00:00:00"/>
    <x v="17"/>
    <s v="M"/>
    <x v="6"/>
    <x v="0"/>
    <n v="600"/>
    <n v="12"/>
    <x v="1"/>
    <n v="2"/>
    <n v="1200"/>
    <n v="16.666666666666664"/>
    <x v="0"/>
    <n v="4.7"/>
    <s v="INR"/>
  </r>
  <r>
    <n v="76"/>
    <s v="SR176"/>
    <s v="C1076"/>
    <x v="0"/>
    <s v="Karthikrao"/>
    <d v="2026-05-07T00:00:00"/>
    <x v="5"/>
    <s v="XL"/>
    <x v="5"/>
    <x v="2"/>
    <n v="700"/>
    <n v="18"/>
    <x v="1"/>
    <n v="3"/>
    <n v="2100"/>
    <n v="16.666666666666664"/>
    <x v="2"/>
    <n v="4.0999999999999996"/>
    <s v="INR"/>
  </r>
  <r>
    <n v="77"/>
    <s v="SR177"/>
    <s v="C1077"/>
    <x v="1"/>
    <s v="Poojajain"/>
    <d v="2026-05-08T00:00:00"/>
    <x v="9"/>
    <s v="S"/>
    <x v="7"/>
    <x v="0"/>
    <n v="600"/>
    <n v="16"/>
    <x v="1"/>
    <n v="6"/>
    <n v="3600"/>
    <n v="37.5"/>
    <x v="0"/>
    <n v="4.4000000000000004"/>
    <s v="INR"/>
  </r>
  <r>
    <n v="78"/>
    <s v="SR178"/>
    <s v="C1078"/>
    <x v="0"/>
    <s v="Nikhilverma"/>
    <d v="2026-05-08T00:00:00"/>
    <x v="8"/>
    <s v="L"/>
    <x v="9"/>
    <x v="0"/>
    <n v="999"/>
    <n v="18"/>
    <x v="1"/>
    <n v="3"/>
    <n v="2997"/>
    <n v="16.666666666666664"/>
    <x v="0"/>
    <n v="4.5999999999999996"/>
    <s v="INR"/>
  </r>
  <r>
    <n v="79"/>
    <s v="SR179"/>
    <s v="C1079"/>
    <x v="1"/>
    <s v="Radhikamenon"/>
    <d v="2026-05-09T00:00:00"/>
    <x v="13"/>
    <s v="M"/>
    <x v="1"/>
    <x v="0"/>
    <n v="800"/>
    <n v="14"/>
    <x v="1"/>
    <n v="4"/>
    <n v="3200"/>
    <n v="28.571428571428569"/>
    <x v="1"/>
    <n v="4.7"/>
    <s v="INR"/>
  </r>
  <r>
    <n v="80"/>
    <s v="SR180"/>
    <s v="C1080"/>
    <x v="0"/>
    <s v="Amangupta"/>
    <d v="2026-05-09T00:00:00"/>
    <x v="12"/>
    <s v="XL"/>
    <x v="0"/>
    <x v="1"/>
    <n v="800"/>
    <n v="18"/>
    <x v="1"/>
    <n v="3"/>
    <n v="2400"/>
    <n v="16.666666666666664"/>
    <x v="0"/>
    <n v="4.3"/>
    <s v="INR"/>
  </r>
  <r>
    <n v="81"/>
    <s v="SR181"/>
    <s v="C1081"/>
    <x v="1"/>
    <s v="Ishitakapoor"/>
    <d v="2026-05-10T00:00:00"/>
    <x v="7"/>
    <s v="XL"/>
    <x v="3"/>
    <x v="0"/>
    <n v="1500"/>
    <n v="12"/>
    <x v="1"/>
    <n v="2"/>
    <n v="3000"/>
    <n v="16.666666666666664"/>
    <x v="0"/>
    <n v="4.9000000000000004"/>
    <s v="INR"/>
  </r>
  <r>
    <n v="82"/>
    <s v="SR182"/>
    <s v="C1082"/>
    <x v="0"/>
    <s v="Rahuldas"/>
    <d v="2026-05-10T00:00:00"/>
    <x v="0"/>
    <s v="M"/>
    <x v="2"/>
    <x v="0"/>
    <n v="600"/>
    <n v="10"/>
    <x v="1"/>
    <n v="7"/>
    <n v="4200"/>
    <n v="70"/>
    <x v="0"/>
    <n v="4.5"/>
    <s v="INR"/>
  </r>
  <r>
    <n v="83"/>
    <s v="SR183"/>
    <s v="C1083"/>
    <x v="1"/>
    <s v="Tanvishetty"/>
    <d v="2026-05-11T00:00:00"/>
    <x v="11"/>
    <s v="L"/>
    <x v="4"/>
    <x v="0"/>
    <n v="900"/>
    <n v="12"/>
    <x v="1"/>
    <n v="2"/>
    <n v="1800"/>
    <n v="16.666666666666664"/>
    <x v="1"/>
    <n v="4.8"/>
    <s v="INR"/>
  </r>
  <r>
    <n v="84"/>
    <s v="SR184"/>
    <s v="C1084"/>
    <x v="0"/>
    <s v="Siddharthnair"/>
    <d v="2026-05-11T00:00:00"/>
    <x v="14"/>
    <s v="XXL"/>
    <x v="6"/>
    <x v="0"/>
    <n v="900"/>
    <n v="12"/>
    <x v="1"/>
    <n v="2"/>
    <n v="1800"/>
    <n v="16.666666666666664"/>
    <x v="0"/>
    <n v="4.9000000000000004"/>
    <s v="INR"/>
  </r>
  <r>
    <n v="85"/>
    <s v="SR185"/>
    <s v="C1085"/>
    <x v="1"/>
    <s v="Ayeshakhan"/>
    <d v="2026-05-12T00:00:00"/>
    <x v="22"/>
    <s v="S"/>
    <x v="5"/>
    <x v="2"/>
    <n v="900"/>
    <n v="15"/>
    <x v="1"/>
    <n v="5"/>
    <n v="4500"/>
    <n v="33.333333333333329"/>
    <x v="2"/>
    <n v="3.9"/>
    <s v="INR"/>
  </r>
  <r>
    <n v="86"/>
    <s v="SR186"/>
    <s v="C1086"/>
    <x v="0"/>
    <s v="Harshpatel"/>
    <d v="2026-05-12T00:00:00"/>
    <x v="6"/>
    <s v="L"/>
    <x v="7"/>
    <x v="0"/>
    <n v="800"/>
    <n v="14"/>
    <x v="1"/>
    <n v="4"/>
    <n v="3200"/>
    <n v="28.571428571428569"/>
    <x v="0"/>
    <n v="4.4000000000000004"/>
    <s v="INR"/>
  </r>
  <r>
    <n v="87"/>
    <s v="SR187"/>
    <s v="C1087"/>
    <x v="1"/>
    <s v="Divyarao"/>
    <d v="2026-05-13T00:00:00"/>
    <x v="20"/>
    <s v="XL"/>
    <x v="9"/>
    <x v="0"/>
    <n v="899"/>
    <n v="18"/>
    <x v="1"/>
    <n v="3"/>
    <n v="2697"/>
    <n v="16.666666666666664"/>
    <x v="0"/>
    <n v="4.5999999999999996"/>
    <s v="INR"/>
  </r>
  <r>
    <n v="88"/>
    <s v="SR188"/>
    <s v="C1088"/>
    <x v="0"/>
    <s v="Rohitsharma"/>
    <d v="2026-05-13T00:00:00"/>
    <x v="18"/>
    <s v="XXL"/>
    <x v="1"/>
    <x v="1"/>
    <n v="900"/>
    <n v="10"/>
    <x v="1"/>
    <n v="7"/>
    <n v="6300"/>
    <n v="70"/>
    <x v="1"/>
    <n v="4.2"/>
    <s v="INR"/>
  </r>
  <r>
    <n v="89"/>
    <s v="SR189"/>
    <s v="C1089"/>
    <x v="1"/>
    <s v="Nehaiyer"/>
    <d v="2026-05-14T00:00:00"/>
    <x v="15"/>
    <s v="FreeSize"/>
    <x v="0"/>
    <x v="0"/>
    <n v="2999"/>
    <n v="12"/>
    <x v="1"/>
    <n v="2"/>
    <n v="5998"/>
    <n v="16.666666666666664"/>
    <x v="0"/>
    <n v="4.9000000000000004"/>
    <s v="INR"/>
  </r>
  <r>
    <n v="90"/>
    <s v="SR190"/>
    <s v="C1090"/>
    <x v="0"/>
    <s v="Akshaymehta"/>
    <d v="2026-05-14T00:00:00"/>
    <x v="21"/>
    <s v="M"/>
    <x v="3"/>
    <x v="0"/>
    <n v="500"/>
    <n v="15"/>
    <x v="1"/>
    <n v="5"/>
    <n v="2500"/>
    <n v="33.333333333333329"/>
    <x v="0"/>
    <n v="4.5"/>
    <s v="INR"/>
  </r>
  <r>
    <n v="91"/>
    <s v="SR191"/>
    <s v="C1091"/>
    <x v="1"/>
    <s v="Shwetarao"/>
    <d v="2026-05-15T00:00:00"/>
    <x v="20"/>
    <s v="L"/>
    <x v="0"/>
    <x v="0"/>
    <n v="899"/>
    <n v="14"/>
    <x v="1"/>
    <n v="4"/>
    <n v="3596"/>
    <n v="28.571428571428569"/>
    <x v="0"/>
    <n v="4.8"/>
    <s v="INR"/>
  </r>
  <r>
    <n v="92"/>
    <s v="SR192"/>
    <s v="C1092"/>
    <x v="0"/>
    <s v="Ajayverma"/>
    <d v="2026-05-15T00:00:00"/>
    <x v="8"/>
    <s v="XL"/>
    <x v="6"/>
    <x v="0"/>
    <n v="999"/>
    <n v="12"/>
    <x v="1"/>
    <n v="2"/>
    <n v="1998"/>
    <n v="16.666666666666664"/>
    <x v="0"/>
    <n v="4.5"/>
    <s v="INR"/>
  </r>
  <r>
    <n v="93"/>
    <s v="SR193"/>
    <s v="C1093"/>
    <x v="1"/>
    <s v="Nidhikapoor"/>
    <d v="2026-05-16T00:00:00"/>
    <x v="15"/>
    <s v="FreeSize"/>
    <x v="2"/>
    <x v="0"/>
    <n v="2999"/>
    <n v="10"/>
    <x v="1"/>
    <n v="1"/>
    <n v="2999"/>
    <n v="10"/>
    <x v="1"/>
    <n v="4.9000000000000004"/>
    <s v="INR"/>
  </r>
  <r>
    <n v="94"/>
    <s v="SR194"/>
    <s v="C1094"/>
    <x v="0"/>
    <s v="Rohitnair"/>
    <d v="2026-05-16T00:00:00"/>
    <x v="5"/>
    <s v="XL"/>
    <x v="4"/>
    <x v="1"/>
    <n v="700"/>
    <n v="18"/>
    <x v="1"/>
    <n v="3"/>
    <n v="2100"/>
    <n v="16.666666666666664"/>
    <x v="0"/>
    <n v="4.2"/>
    <s v="INR"/>
  </r>
  <r>
    <n v="95"/>
    <s v="SR195"/>
    <s v="C1095"/>
    <x v="1"/>
    <s v="Kavitasharma"/>
    <d v="2026-05-17T00:00:00"/>
    <x v="7"/>
    <s v="L"/>
    <x v="3"/>
    <x v="0"/>
    <n v="1500"/>
    <n v="12"/>
    <x v="1"/>
    <n v="8"/>
    <n v="12000"/>
    <n v="66.666666666666657"/>
    <x v="0"/>
    <n v="4.8"/>
    <s v="INR"/>
  </r>
  <r>
    <n v="96"/>
    <s v="SR196"/>
    <s v="C1096"/>
    <x v="0"/>
    <s v="Manavpatel"/>
    <d v="2026-05-17T00:00:00"/>
    <x v="16"/>
    <s v="M"/>
    <x v="7"/>
    <x v="0"/>
    <n v="900"/>
    <n v="16"/>
    <x v="1"/>
    <n v="10"/>
    <n v="9000"/>
    <n v="62.5"/>
    <x v="2"/>
    <n v="4.3"/>
    <s v="INR"/>
  </r>
  <r>
    <n v="97"/>
    <s v="SR197"/>
    <s v="C1097"/>
    <x v="1"/>
    <s v="Rheamenon"/>
    <d v="2026-05-18T00:00:00"/>
    <x v="9"/>
    <s v="S"/>
    <x v="5"/>
    <x v="2"/>
    <n v="600"/>
    <n v="15"/>
    <x v="1"/>
    <n v="5"/>
    <n v="3000"/>
    <n v="33.333333333333329"/>
    <x v="0"/>
    <n v="4"/>
    <s v="INR"/>
  </r>
  <r>
    <n v="98"/>
    <s v="SR198"/>
    <s v="C1098"/>
    <x v="0"/>
    <s v="Kunaljoshi"/>
    <d v="2026-05-18T00:00:00"/>
    <x v="14"/>
    <s v="XXL"/>
    <x v="9"/>
    <x v="0"/>
    <n v="900"/>
    <n v="12"/>
    <x v="1"/>
    <n v="6"/>
    <n v="5400"/>
    <n v="50"/>
    <x v="0"/>
    <n v="4.9000000000000004"/>
    <s v="INR"/>
  </r>
  <r>
    <n v="99"/>
    <s v="SR199"/>
    <s v="C1099"/>
    <x v="1"/>
    <s v="Pritijain"/>
    <d v="2026-05-19T00:00:00"/>
    <x v="13"/>
    <s v="M"/>
    <x v="8"/>
    <x v="0"/>
    <n v="800"/>
    <n v="14"/>
    <x v="1"/>
    <n v="4"/>
    <n v="3200"/>
    <n v="28.571428571428569"/>
    <x v="1"/>
    <n v="4.7"/>
    <s v="INR"/>
  </r>
  <r>
    <n v="100"/>
    <s v="SR200"/>
    <s v="C1100"/>
    <x v="0"/>
    <s v="Saurabhgupta"/>
    <d v="2026-05-19T00:00:00"/>
    <x v="12"/>
    <s v="L"/>
    <x v="0"/>
    <x v="0"/>
    <n v="800"/>
    <n v="18"/>
    <x v="1"/>
    <n v="3"/>
    <n v="2400"/>
    <n v="16.666666666666664"/>
    <x v="0"/>
    <n v="4.4000000000000004"/>
    <s v="INR"/>
  </r>
  <r>
    <n v="101"/>
    <s v="SR201"/>
    <s v="C1101"/>
    <x v="1"/>
    <s v="Anushareddy"/>
    <d v="2026-05-20T00:00:00"/>
    <x v="17"/>
    <s v="M"/>
    <x v="6"/>
    <x v="0"/>
    <n v="600"/>
    <n v="12"/>
    <x v="1"/>
    <n v="12"/>
    <n v="7200"/>
    <n v="100"/>
    <x v="0"/>
    <n v="4.8"/>
    <s v="INR"/>
  </r>
  <r>
    <n v="102"/>
    <s v="SR202"/>
    <s v="C1102"/>
    <x v="0"/>
    <s v="Harshitsingh"/>
    <d v="2026-05-20T00:00:00"/>
    <x v="4"/>
    <s v="XL"/>
    <x v="2"/>
    <x v="1"/>
    <n v="800"/>
    <n v="18"/>
    <x v="1"/>
    <n v="3"/>
    <n v="2400"/>
    <n v="16.666666666666664"/>
    <x v="1"/>
    <n v="4.3"/>
    <s v="INR"/>
  </r>
  <r>
    <n v="103"/>
    <s v="SR203"/>
    <s v="C1103"/>
    <x v="1"/>
    <s v="Deepikaiyer"/>
    <d v="2026-05-21T00:00:00"/>
    <x v="20"/>
    <s v="M"/>
    <x v="3"/>
    <x v="0"/>
    <n v="899"/>
    <n v="15"/>
    <x v="1"/>
    <n v="5"/>
    <n v="4495"/>
    <n v="33.333333333333329"/>
    <x v="0"/>
    <n v="4.9000000000000004"/>
    <s v="INR"/>
  </r>
  <r>
    <n v="104"/>
    <s v="SR204"/>
    <s v="C1104"/>
    <x v="0"/>
    <s v="Arvindkumar"/>
    <d v="2026-05-21T00:00:00"/>
    <x v="6"/>
    <s v="L"/>
    <x v="4"/>
    <x v="0"/>
    <n v="800"/>
    <n v="14"/>
    <x v="1"/>
    <n v="4"/>
    <n v="3200"/>
    <n v="28.571428571428569"/>
    <x v="0"/>
    <n v="4.5"/>
    <s v="INR"/>
  </r>
  <r>
    <n v="105"/>
    <s v="SR205"/>
    <s v="C1105"/>
    <x v="1"/>
    <s v="Sonalshah"/>
    <d v="2026-05-22T00:00:00"/>
    <x v="11"/>
    <s v="XL"/>
    <x v="7"/>
    <x v="0"/>
    <n v="900"/>
    <n v="12"/>
    <x v="1"/>
    <n v="2"/>
    <n v="1800"/>
    <n v="16.666666666666664"/>
    <x v="1"/>
    <n v="4.8"/>
    <s v="INR"/>
  </r>
  <r>
    <n v="106"/>
    <s v="SR206"/>
    <s v="C1106"/>
    <x v="0"/>
    <s v="Nitinrao"/>
    <d v="2026-05-22T00:00:00"/>
    <x v="21"/>
    <s v="M"/>
    <x v="5"/>
    <x v="2"/>
    <n v="500"/>
    <n v="14"/>
    <x v="1"/>
    <n v="4"/>
    <n v="2000"/>
    <n v="28.571428571428569"/>
    <x v="2"/>
    <n v="4.0999999999999996"/>
    <s v="INR"/>
  </r>
  <r>
    <n v="107"/>
    <s v="SR207"/>
    <s v="C1107"/>
    <x v="1"/>
    <s v="Komalverma"/>
    <d v="2026-05-23T00:00:00"/>
    <x v="15"/>
    <s v="FreeSize"/>
    <x v="9"/>
    <x v="0"/>
    <n v="2999"/>
    <n v="10"/>
    <x v="1"/>
    <n v="8"/>
    <n v="23992"/>
    <n v="80"/>
    <x v="0"/>
    <n v="4.9000000000000004"/>
    <s v="INR"/>
  </r>
  <r>
    <n v="108"/>
    <s v="SR208"/>
    <s v="C1108"/>
    <x v="0"/>
    <s v="Siddhantpatel"/>
    <d v="2026-05-23T00:00:00"/>
    <x v="18"/>
    <s v="XXL"/>
    <x v="8"/>
    <x v="0"/>
    <n v="900"/>
    <n v="10"/>
    <x v="1"/>
    <n v="6"/>
    <n v="5400"/>
    <n v="60"/>
    <x v="0"/>
    <n v="4.5999999999999996"/>
    <s v="INR"/>
  </r>
  <r>
    <n v="109"/>
    <s v="SR209"/>
    <s v="C1109"/>
    <x v="1"/>
    <s v="Nainakapoor"/>
    <d v="2026-05-24T00:00:00"/>
    <x v="22"/>
    <s v="S"/>
    <x v="0"/>
    <x v="1"/>
    <n v="900"/>
    <n v="14"/>
    <x v="1"/>
    <n v="4"/>
    <n v="3600"/>
    <n v="28.571428571428569"/>
    <x v="1"/>
    <n v="4.3"/>
    <s v="INR"/>
  </r>
  <r>
    <n v="110"/>
    <s v="SR210"/>
    <s v="C1110"/>
    <x v="0"/>
    <s v="Yashsharma"/>
    <d v="2026-05-24T00:00:00"/>
    <x v="0"/>
    <s v="L"/>
    <x v="6"/>
    <x v="0"/>
    <n v="600"/>
    <n v="15"/>
    <x v="1"/>
    <n v="5"/>
    <n v="3000"/>
    <n v="33.333333333333329"/>
    <x v="0"/>
    <n v="4.7"/>
    <s v="INR"/>
  </r>
  <r>
    <n v="111"/>
    <s v="SR211"/>
    <s v="C1111"/>
    <x v="1"/>
    <s v="Priyankanair"/>
    <d v="2026-06-01T00:00:00"/>
    <x v="20"/>
    <s v="M"/>
    <x v="0"/>
    <x v="0"/>
    <n v="899"/>
    <n v="18"/>
    <x v="2"/>
    <n v="3"/>
    <n v="2697"/>
    <n v="16.666666666666664"/>
    <x v="0"/>
    <n v="4.8"/>
    <s v="INR"/>
  </r>
  <r>
    <n v="112"/>
    <s v="SR212"/>
    <s v="C1112"/>
    <x v="0"/>
    <s v="Rohangupta"/>
    <d v="2026-06-01T00:00:00"/>
    <x v="8"/>
    <s v="XL"/>
    <x v="6"/>
    <x v="0"/>
    <n v="999"/>
    <n v="12"/>
    <x v="2"/>
    <n v="7"/>
    <n v="6993"/>
    <n v="58.333333333333336"/>
    <x v="0"/>
    <n v="4.5"/>
    <s v="INR"/>
  </r>
  <r>
    <n v="113"/>
    <s v="SR213"/>
    <s v="C1113"/>
    <x v="1"/>
    <s v="Anjalisharma"/>
    <d v="2026-06-02T00:00:00"/>
    <x v="15"/>
    <s v="FreeSize"/>
    <x v="2"/>
    <x v="0"/>
    <n v="2999"/>
    <n v="10"/>
    <x v="2"/>
    <n v="9"/>
    <n v="26991"/>
    <n v="90"/>
    <x v="1"/>
    <n v="4.9000000000000004"/>
    <s v="INR"/>
  </r>
  <r>
    <n v="114"/>
    <s v="SR214"/>
    <s v="C1114"/>
    <x v="0"/>
    <s v="Karanverma"/>
    <d v="2026-06-02T00:00:00"/>
    <x v="5"/>
    <s v="XL"/>
    <x v="3"/>
    <x v="1"/>
    <n v="700"/>
    <n v="12"/>
    <x v="2"/>
    <n v="6"/>
    <n v="4200"/>
    <n v="50"/>
    <x v="0"/>
    <n v="4.2"/>
    <s v="INR"/>
  </r>
  <r>
    <n v="115"/>
    <s v="SR215"/>
    <s v="C1115"/>
    <x v="1"/>
    <s v="Nishapatel"/>
    <d v="2026-06-03T00:00:00"/>
    <x v="17"/>
    <s v="L"/>
    <x v="4"/>
    <x v="0"/>
    <n v="600"/>
    <n v="12"/>
    <x v="2"/>
    <n v="6"/>
    <n v="3600"/>
    <n v="50"/>
    <x v="0"/>
    <n v="4.7"/>
    <s v="INR"/>
  </r>
  <r>
    <n v="116"/>
    <s v="SR216"/>
    <s v="C1116"/>
    <x v="0"/>
    <s v="Arjunrao"/>
    <d v="2026-06-03T00:00:00"/>
    <x v="16"/>
    <s v="M"/>
    <x v="7"/>
    <x v="0"/>
    <n v="900"/>
    <n v="15"/>
    <x v="2"/>
    <n v="5"/>
    <n v="4500"/>
    <n v="33.333333333333329"/>
    <x v="2"/>
    <n v="4.4000000000000004"/>
    <s v="INR"/>
  </r>
  <r>
    <n v="117"/>
    <s v="SR217"/>
    <s v="C1117"/>
    <x v="1"/>
    <s v="Ritumenon"/>
    <d v="2026-06-04T00:00:00"/>
    <x v="9"/>
    <s v="S"/>
    <x v="5"/>
    <x v="2"/>
    <n v="600"/>
    <n v="14"/>
    <x v="2"/>
    <n v="4"/>
    <n v="2400"/>
    <n v="28.571428571428569"/>
    <x v="0"/>
    <n v="4.2"/>
    <s v="INR"/>
  </r>
  <r>
    <n v="118"/>
    <s v="SR218"/>
    <s v="C1118"/>
    <x v="0"/>
    <s v="Vivekjain"/>
    <d v="2026-06-04T00:00:00"/>
    <x v="14"/>
    <s v="XXL"/>
    <x v="9"/>
    <x v="0"/>
    <n v="900"/>
    <n v="12"/>
    <x v="2"/>
    <n v="12"/>
    <n v="10800"/>
    <n v="100"/>
    <x v="0"/>
    <n v="4.9000000000000004"/>
    <s v="INR"/>
  </r>
  <r>
    <n v="119"/>
    <s v="SR219"/>
    <s v="C1119"/>
    <x v="1"/>
    <s v="Poojakapoor"/>
    <d v="2026-06-05T00:00:00"/>
    <x v="13"/>
    <s v="M"/>
    <x v="8"/>
    <x v="0"/>
    <n v="800"/>
    <n v="18"/>
    <x v="2"/>
    <n v="10"/>
    <n v="8000"/>
    <n v="55.555555555555557"/>
    <x v="1"/>
    <n v="4.5999999999999996"/>
    <s v="INR"/>
  </r>
  <r>
    <n v="120"/>
    <s v="SR220"/>
    <s v="C1120"/>
    <x v="0"/>
    <s v="Akshaysingh"/>
    <d v="2026-06-05T00:00:00"/>
    <x v="12"/>
    <s v="L"/>
    <x v="0"/>
    <x v="0"/>
    <n v="800"/>
    <n v="14"/>
    <x v="2"/>
    <n v="4"/>
    <n v="3200"/>
    <n v="28.571428571428569"/>
    <x v="0"/>
    <n v="4.5"/>
    <s v="INR"/>
  </r>
  <r>
    <n v="121"/>
    <s v="SR221"/>
    <s v="C1121"/>
    <x v="1"/>
    <s v="Meeraiyer"/>
    <d v="2026-06-06T00:00:00"/>
    <x v="7"/>
    <s v="XL"/>
    <x v="6"/>
    <x v="0"/>
    <n v="1500"/>
    <n v="12"/>
    <x v="2"/>
    <n v="8"/>
    <n v="12000"/>
    <n v="66.666666666666657"/>
    <x v="0"/>
    <n v="4.8"/>
    <s v="INR"/>
  </r>
  <r>
    <n v="122"/>
    <s v="SR222"/>
    <s v="C1122"/>
    <x v="0"/>
    <s v="Harshnair"/>
    <d v="2026-06-06T00:00:00"/>
    <x v="4"/>
    <s v="XL"/>
    <x v="2"/>
    <x v="1"/>
    <n v="800"/>
    <n v="18"/>
    <x v="2"/>
    <n v="3"/>
    <n v="2400"/>
    <n v="16.666666666666664"/>
    <x v="1"/>
    <n v="4.3"/>
    <s v="INR"/>
  </r>
  <r>
    <n v="123"/>
    <s v="SR223"/>
    <s v="C1123"/>
    <x v="1"/>
    <s v="Aditishah"/>
    <d v="2026-06-07T00:00:00"/>
    <x v="20"/>
    <s v="M"/>
    <x v="3"/>
    <x v="0"/>
    <n v="899"/>
    <n v="14"/>
    <x v="2"/>
    <n v="5"/>
    <n v="4495"/>
    <n v="35.714285714285715"/>
    <x v="0"/>
    <n v="4.9000000000000004"/>
    <s v="INR"/>
  </r>
  <r>
    <n v="124"/>
    <s v="SR224"/>
    <s v="C1124"/>
    <x v="0"/>
    <s v="Rahuldas"/>
    <d v="2026-06-07T00:00:00"/>
    <x v="6"/>
    <s v="L"/>
    <x v="4"/>
    <x v="0"/>
    <n v="800"/>
    <n v="15"/>
    <x v="2"/>
    <n v="5"/>
    <n v="4000"/>
    <n v="33.333333333333329"/>
    <x v="0"/>
    <n v="4.5"/>
    <s v="INR"/>
  </r>
  <r>
    <n v="125"/>
    <s v="SR225"/>
    <s v="C1125"/>
    <x v="1"/>
    <s v="Kavyareddy"/>
    <d v="2026-06-08T00:00:00"/>
    <x v="11"/>
    <s v="XL"/>
    <x v="7"/>
    <x v="0"/>
    <n v="900"/>
    <n v="12"/>
    <x v="2"/>
    <n v="12"/>
    <n v="10800"/>
    <n v="100"/>
    <x v="1"/>
    <n v="4.7"/>
    <s v="INR"/>
  </r>
  <r>
    <n v="126"/>
    <s v="SR226"/>
    <s v="C1126"/>
    <x v="0"/>
    <s v="Nitinsharma"/>
    <d v="2026-06-08T00:00:00"/>
    <x v="21"/>
    <s v="M"/>
    <x v="5"/>
    <x v="2"/>
    <n v="500"/>
    <n v="14"/>
    <x v="2"/>
    <n v="4"/>
    <n v="2000"/>
    <n v="28.571428571428569"/>
    <x v="2"/>
    <n v="4.0999999999999996"/>
    <s v="INR"/>
  </r>
  <r>
    <n v="127"/>
    <s v="SR227"/>
    <s v="C1127"/>
    <x v="1"/>
    <s v="Divyamenon"/>
    <d v="2026-06-09T00:00:00"/>
    <x v="15"/>
    <s v="FreeSize"/>
    <x v="9"/>
    <x v="0"/>
    <n v="2999"/>
    <n v="10"/>
    <x v="2"/>
    <n v="8"/>
    <n v="23992"/>
    <n v="80"/>
    <x v="0"/>
    <n v="4.9000000000000004"/>
    <s v="INR"/>
  </r>
  <r>
    <n v="128"/>
    <s v="SR228"/>
    <s v="C1128"/>
    <x v="0"/>
    <s v="Kunal Patel"/>
    <d v="2026-06-09T00:00:00"/>
    <x v="18"/>
    <s v="XXL"/>
    <x v="8"/>
    <x v="0"/>
    <n v="900"/>
    <n v="10"/>
    <x v="2"/>
    <n v="10"/>
    <n v="9000"/>
    <n v="100"/>
    <x v="0"/>
    <n v="4.5999999999999996"/>
    <s v="INR"/>
  </r>
  <r>
    <n v="129"/>
    <s v="SR229"/>
    <s v="C1129"/>
    <x v="1"/>
    <s v="Shreya Nair"/>
    <d v="2026-06-10T00:00:00"/>
    <x v="22"/>
    <s v="S"/>
    <x v="0"/>
    <x v="1"/>
    <n v="900"/>
    <n v="14"/>
    <x v="2"/>
    <n v="4"/>
    <n v="3600"/>
    <n v="28.571428571428569"/>
    <x v="1"/>
    <n v="4.3"/>
    <s v="INR"/>
  </r>
  <r>
    <n v="130"/>
    <s v="SR230"/>
    <s v="C1130"/>
    <x v="0"/>
    <s v="Aman Kumar"/>
    <d v="2026-06-10T00:00:00"/>
    <x v="0"/>
    <s v="L"/>
    <x v="6"/>
    <x v="0"/>
    <n v="600"/>
    <n v="16"/>
    <x v="2"/>
    <n v="6"/>
    <n v="3600"/>
    <n v="37.5"/>
    <x v="0"/>
    <n v="4.7"/>
    <s v="INR"/>
  </r>
  <r>
    <n v="131"/>
    <s v="SR231"/>
    <s v="C1131"/>
    <x v="1"/>
    <s v="Neha Rao"/>
    <d v="2026-06-11T00:00:00"/>
    <x v="20"/>
    <s v="XL"/>
    <x v="2"/>
    <x v="0"/>
    <n v="899"/>
    <n v="15"/>
    <x v="2"/>
    <n v="5"/>
    <n v="4495"/>
    <n v="33.333333333333329"/>
    <x v="0"/>
    <n v="4.8"/>
    <s v="INR"/>
  </r>
  <r>
    <n v="132"/>
    <s v="SR232"/>
    <s v="C1132"/>
    <x v="0"/>
    <s v="Siddharth Jain"/>
    <d v="2026-06-11T00:00:00"/>
    <x v="5"/>
    <s v="XL"/>
    <x v="3"/>
    <x v="0"/>
    <n v="700"/>
    <n v="30"/>
    <x v="2"/>
    <n v="3"/>
    <n v="2100"/>
    <n v="10"/>
    <x v="0"/>
    <n v="4.4000000000000004"/>
    <s v="INR"/>
  </r>
  <r>
    <n v="133"/>
    <s v="SR233"/>
    <s v="C1133"/>
    <x v="1"/>
    <s v="Komal Sharma"/>
    <d v="2026-06-12T00:00:00"/>
    <x v="17"/>
    <s v="M"/>
    <x v="4"/>
    <x v="0"/>
    <n v="600"/>
    <n v="20"/>
    <x v="2"/>
    <n v="10"/>
    <n v="6000"/>
    <n v="50"/>
    <x v="1"/>
    <n v="4.9000000000000004"/>
    <s v="INR"/>
  </r>
  <r>
    <n v="134"/>
    <s v="SR234"/>
    <s v="C1134"/>
    <x v="0"/>
    <s v="Varun Gupta"/>
    <d v="2026-06-12T00:00:00"/>
    <x v="8"/>
    <s v="L"/>
    <x v="7"/>
    <x v="0"/>
    <n v="999"/>
    <n v="10"/>
    <x v="2"/>
    <n v="4"/>
    <n v="3996"/>
    <n v="40"/>
    <x v="0"/>
    <n v="4.5"/>
    <s v="INR"/>
  </r>
  <r>
    <n v="135"/>
    <s v="SR235"/>
    <s v="C1135"/>
    <x v="1"/>
    <s v="Ayesha Khan"/>
    <d v="2026-06-13T00:00:00"/>
    <x v="9"/>
    <s v="S"/>
    <x v="5"/>
    <x v="2"/>
    <n v="600"/>
    <n v="10"/>
    <x v="2"/>
    <n v="5"/>
    <n v="3000"/>
    <n v="50"/>
    <x v="2"/>
    <n v="3.9"/>
    <s v="INR"/>
  </r>
  <r>
    <n v="136"/>
    <s v="SR236"/>
    <s v="C1136"/>
    <x v="0"/>
    <s v="Pranav Reddy"/>
    <d v="2026-06-13T00:00:00"/>
    <x v="14"/>
    <s v="XXL"/>
    <x v="9"/>
    <x v="0"/>
    <n v="900"/>
    <n v="30"/>
    <x v="2"/>
    <n v="3"/>
    <n v="2700"/>
    <n v="10"/>
    <x v="0"/>
    <n v="4.8"/>
    <s v="INR"/>
  </r>
  <r>
    <n v="137"/>
    <s v="SR237"/>
    <s v="C1137"/>
    <x v="1"/>
    <s v="Ishita Kapoor"/>
    <d v="2026-06-14T00:00:00"/>
    <x v="15"/>
    <s v="FreeSize"/>
    <x v="8"/>
    <x v="0"/>
    <n v="2999"/>
    <n v="20"/>
    <x v="2"/>
    <n v="12"/>
    <n v="35988"/>
    <n v="60"/>
    <x v="0"/>
    <n v="4.9000000000000004"/>
    <s v="INR"/>
  </r>
  <r>
    <n v="138"/>
    <s v="SR238"/>
    <s v="C1138"/>
    <x v="0"/>
    <s v="Deepak Nair"/>
    <d v="2026-06-14T00:00:00"/>
    <x v="12"/>
    <s v="XL"/>
    <x v="0"/>
    <x v="1"/>
    <n v="800"/>
    <n v="30"/>
    <x v="2"/>
    <n v="10"/>
    <n v="8000"/>
    <n v="33.333333333333329"/>
    <x v="1"/>
    <n v="4.2"/>
    <s v="INR"/>
  </r>
  <r>
    <n v="139"/>
    <s v="SR239"/>
    <s v="C1139"/>
    <x v="1"/>
    <s v="Bhavna Patel"/>
    <d v="2026-06-15T00:00:00"/>
    <x v="7"/>
    <s v="XL"/>
    <x v="6"/>
    <x v="0"/>
    <n v="1500"/>
    <n v="20"/>
    <x v="2"/>
    <n v="12"/>
    <n v="18000"/>
    <n v="60"/>
    <x v="0"/>
    <n v="4.8"/>
    <s v="INR"/>
  </r>
  <r>
    <n v="140"/>
    <s v="SR240"/>
    <s v="C1140"/>
    <x v="0"/>
    <s v="Abhishek Sharma"/>
    <d v="2026-06-15T00:00:00"/>
    <x v="4"/>
    <s v="L"/>
    <x v="2"/>
    <x v="0"/>
    <n v="800"/>
    <n v="18"/>
    <x v="2"/>
    <n v="11"/>
    <n v="8800"/>
    <n v="61.111111111111114"/>
    <x v="0"/>
    <n v="4.5999999999999996"/>
    <s v="IN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A190AA-1946-46D4-A10F-974EC022BF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NTHS">
  <location ref="A2:C6" firstHeaderRow="0" firstDataRow="1" firstDataCol="1"/>
  <pivotFields count="19">
    <pivotField showAll="0"/>
    <pivotField showAll="0"/>
    <pivotField dataField="1" showAll="0"/>
    <pivotField showAll="0">
      <items count="3">
        <item x="1"/>
        <item x="0"/>
        <item t="default"/>
      </items>
    </pivotField>
    <pivotField showAll="0"/>
    <pivotField numFmtId="14" showAll="0"/>
    <pivotField showAll="0">
      <items count="24">
        <item x="18"/>
        <item x="4"/>
        <item x="21"/>
        <item x="17"/>
        <item x="1"/>
        <item x="9"/>
        <item x="2"/>
        <item x="22"/>
        <item x="19"/>
        <item x="7"/>
        <item x="3"/>
        <item x="12"/>
        <item x="5"/>
        <item x="8"/>
        <item x="16"/>
        <item x="20"/>
        <item x="11"/>
        <item x="0"/>
        <item x="13"/>
        <item x="6"/>
        <item x="15"/>
        <item x="10"/>
        <item x="14"/>
        <item t="default"/>
      </items>
    </pivotField>
    <pivotField showAll="0"/>
    <pivotField showAll="0">
      <items count="11">
        <item x="9"/>
        <item x="0"/>
        <item x="2"/>
        <item x="7"/>
        <item x="3"/>
        <item x="8"/>
        <item x="5"/>
        <item x="6"/>
        <item x="1"/>
        <item x="4"/>
        <item t="default"/>
      </items>
    </pivotField>
    <pivotField showAll="0"/>
    <pivotField showAll="0"/>
    <pivotField showAll="0"/>
    <pivotField axis="axisRow" showAll="0">
      <items count="4">
        <item x="0"/>
        <item x="1"/>
        <item x="2"/>
        <item t="default"/>
      </items>
    </pivotField>
    <pivotField showAll="0"/>
    <pivotField dataField="1" showAll="0"/>
    <pivotField numFmtId="164" showAll="0"/>
    <pivotField showAll="0"/>
    <pivotField showAll="0"/>
    <pivotField showAll="0"/>
  </pivotFields>
  <rowFields count="1">
    <field x="12"/>
  </rowFields>
  <rowItems count="4">
    <i>
      <x/>
    </i>
    <i>
      <x v="1"/>
    </i>
    <i>
      <x v="2"/>
    </i>
    <i t="grand">
      <x/>
    </i>
  </rowItems>
  <colFields count="1">
    <field x="-2"/>
  </colFields>
  <colItems count="2">
    <i>
      <x/>
    </i>
    <i i="1">
      <x v="1"/>
    </i>
  </colItems>
  <dataFields count="2">
    <dataField name="No of orders" fld="2" subtotal="count" baseField="0" baseItem="0"/>
    <dataField name="Sum of Revenue" fld="14" baseField="0" baseItem="0"/>
  </dataFields>
  <formats count="103">
    <format dxfId="347">
      <pivotArea field="12" type="button" dataOnly="0" labelOnly="1" outline="0" axis="axisRow" fieldPosition="0"/>
    </format>
    <format dxfId="346">
      <pivotArea field="12" type="button" dataOnly="0" labelOnly="1" outline="0" axis="axisRow" fieldPosition="0"/>
    </format>
    <format dxfId="345">
      <pivotArea type="all" dataOnly="0" outline="0" fieldPosition="0"/>
    </format>
    <format dxfId="344">
      <pivotArea outline="0" collapsedLevelsAreSubtotals="1" fieldPosition="0"/>
    </format>
    <format dxfId="343">
      <pivotArea field="12" type="button" dataOnly="0" labelOnly="1" outline="0" axis="axisRow" fieldPosition="0"/>
    </format>
    <format dxfId="342">
      <pivotArea dataOnly="0" labelOnly="1" fieldPosition="0">
        <references count="1">
          <reference field="12" count="0"/>
        </references>
      </pivotArea>
    </format>
    <format dxfId="341">
      <pivotArea dataOnly="0" labelOnly="1" grandRow="1" outline="0" fieldPosition="0"/>
    </format>
    <format dxfId="340">
      <pivotArea dataOnly="0" labelOnly="1" outline="0" fieldPosition="0">
        <references count="1">
          <reference field="4294967294" count="2">
            <x v="0"/>
            <x v="1"/>
          </reference>
        </references>
      </pivotArea>
    </format>
    <format dxfId="339">
      <pivotArea type="all" dataOnly="0" outline="0" fieldPosition="0"/>
    </format>
    <format dxfId="338">
      <pivotArea outline="0" collapsedLevelsAreSubtotals="1" fieldPosition="0"/>
    </format>
    <format dxfId="337">
      <pivotArea dataOnly="0" labelOnly="1" fieldPosition="0">
        <references count="1">
          <reference field="12" count="0"/>
        </references>
      </pivotArea>
    </format>
    <format dxfId="336">
      <pivotArea dataOnly="0" labelOnly="1" outline="0" fieldPosition="0">
        <references count="1">
          <reference field="4294967294" count="2">
            <x v="0"/>
            <x v="1"/>
          </reference>
        </references>
      </pivotArea>
    </format>
    <format dxfId="335">
      <pivotArea type="all" dataOnly="0" outline="0" fieldPosition="0"/>
    </format>
    <format dxfId="334">
      <pivotArea outline="0" collapsedLevelsAreSubtotals="1" fieldPosition="0"/>
    </format>
    <format dxfId="333">
      <pivotArea dataOnly="0" labelOnly="1" fieldPosition="0">
        <references count="1">
          <reference field="12" count="0"/>
        </references>
      </pivotArea>
    </format>
    <format dxfId="332">
      <pivotArea dataOnly="0" labelOnly="1" outline="0" fieldPosition="0">
        <references count="1">
          <reference field="4294967294" count="2">
            <x v="0"/>
            <x v="1"/>
          </reference>
        </references>
      </pivotArea>
    </format>
    <format dxfId="331">
      <pivotArea dataOnly="0" labelOnly="1" outline="0" fieldPosition="0">
        <references count="1">
          <reference field="4294967294" count="1">
            <x v="1"/>
          </reference>
        </references>
      </pivotArea>
    </format>
    <format dxfId="330">
      <pivotArea field="12" grandRow="1" outline="0" collapsedLevelsAreSubtotals="1" axis="axisRow" fieldPosition="0">
        <references count="1">
          <reference field="4294967294" count="1" selected="0">
            <x v="1"/>
          </reference>
        </references>
      </pivotArea>
    </format>
    <format dxfId="329">
      <pivotArea field="12" grandRow="1" outline="0" collapsedLevelsAreSubtotals="1" axis="axisRow" fieldPosition="0">
        <references count="1">
          <reference field="4294967294" count="1" selected="0">
            <x v="1"/>
          </reference>
        </references>
      </pivotArea>
    </format>
    <format dxfId="328">
      <pivotArea dataOnly="0" labelOnly="1" grandRow="1" outline="0" fieldPosition="0"/>
    </format>
    <format dxfId="327">
      <pivotArea field="12" grandRow="1" outline="0" collapsedLevelsAreSubtotals="1" axis="axisRow" fieldPosition="0">
        <references count="1">
          <reference field="4294967294" count="1" selected="0">
            <x v="1"/>
          </reference>
        </references>
      </pivotArea>
    </format>
    <format dxfId="326">
      <pivotArea dataOnly="0" labelOnly="1" fieldPosition="0">
        <references count="1">
          <reference field="12" count="1">
            <x v="0"/>
          </reference>
        </references>
      </pivotArea>
    </format>
    <format dxfId="325">
      <pivotArea collapsedLevelsAreSubtotals="1" fieldPosition="0">
        <references count="2">
          <reference field="4294967294" count="1" selected="0">
            <x v="0"/>
          </reference>
          <reference field="12" count="1">
            <x v="0"/>
          </reference>
        </references>
      </pivotArea>
    </format>
    <format dxfId="324">
      <pivotArea collapsedLevelsAreSubtotals="1" fieldPosition="0">
        <references count="2">
          <reference field="4294967294" count="1" selected="0">
            <x v="1"/>
          </reference>
          <reference field="12" count="1">
            <x v="0"/>
          </reference>
        </references>
      </pivotArea>
    </format>
    <format dxfId="323">
      <pivotArea field="12" type="button" dataOnly="0" labelOnly="1" outline="0" axis="axisRow" fieldPosition="0"/>
    </format>
    <format dxfId="322">
      <pivotArea outline="0" collapsedLevelsAreSubtotals="1" fieldPosition="0">
        <references count="1">
          <reference field="4294967294" count="1" selected="0">
            <x v="0"/>
          </reference>
        </references>
      </pivotArea>
    </format>
    <format dxfId="321">
      <pivotArea dataOnly="0" labelOnly="1" outline="0" fieldPosition="0">
        <references count="1">
          <reference field="4294967294" count="1">
            <x v="0"/>
          </reference>
        </references>
      </pivotArea>
    </format>
    <format dxfId="320">
      <pivotArea collapsedLevelsAreSubtotals="1" fieldPosition="0">
        <references count="2">
          <reference field="4294967294" count="1" selected="0">
            <x v="0"/>
          </reference>
          <reference field="12" count="1">
            <x v="2"/>
          </reference>
        </references>
      </pivotArea>
    </format>
    <format dxfId="319">
      <pivotArea field="12" grandRow="1" outline="0" collapsedLevelsAreSubtotals="1" axis="axisRow" fieldPosition="0">
        <references count="1">
          <reference field="4294967294" count="1" selected="0">
            <x v="0"/>
          </reference>
        </references>
      </pivotArea>
    </format>
    <format dxfId="318">
      <pivotArea type="all" dataOnly="0" outline="0" fieldPosition="0"/>
    </format>
    <format dxfId="317">
      <pivotArea field="12" type="button" dataOnly="0" labelOnly="1" outline="0" axis="axisRow" fieldPosition="0"/>
    </format>
    <format dxfId="316">
      <pivotArea dataOnly="0" labelOnly="1" fieldPosition="0">
        <references count="1">
          <reference field="12" count="0"/>
        </references>
      </pivotArea>
    </format>
    <format dxfId="315">
      <pivotArea dataOnly="0" labelOnly="1" outline="0" fieldPosition="0">
        <references count="1">
          <reference field="4294967294" count="2">
            <x v="0"/>
            <x v="1"/>
          </reference>
        </references>
      </pivotArea>
    </format>
    <format dxfId="314">
      <pivotArea field="12" type="button" dataOnly="0" labelOnly="1" outline="0" axis="axisRow" fieldPosition="0"/>
    </format>
    <format dxfId="313">
      <pivotArea dataOnly="0" labelOnly="1" outline="0" fieldPosition="0">
        <references count="1">
          <reference field="4294967294" count="1">
            <x v="0"/>
          </reference>
        </references>
      </pivotArea>
    </format>
    <format dxfId="312">
      <pivotArea dataOnly="0" labelOnly="1" outline="0" fieldPosition="0">
        <references count="1">
          <reference field="4294967294" count="1">
            <x v="1"/>
          </reference>
        </references>
      </pivotArea>
    </format>
    <format dxfId="311">
      <pivotArea dataOnly="0" labelOnly="1" outline="0" fieldPosition="0">
        <references count="1">
          <reference field="4294967294" count="1">
            <x v="1"/>
          </reference>
        </references>
      </pivotArea>
    </format>
    <format dxfId="310">
      <pivotArea dataOnly="0" labelOnly="1" outline="0" fieldPosition="0">
        <references count="1">
          <reference field="4294967294" count="1">
            <x v="0"/>
          </reference>
        </references>
      </pivotArea>
    </format>
    <format dxfId="309">
      <pivotArea field="12" type="button" dataOnly="0" labelOnly="1" outline="0" axis="axisRow" fieldPosition="0"/>
    </format>
    <format dxfId="308">
      <pivotArea collapsedLevelsAreSubtotals="1" fieldPosition="0">
        <references count="1">
          <reference field="12" count="0"/>
        </references>
      </pivotArea>
    </format>
    <format dxfId="307">
      <pivotArea dataOnly="0" labelOnly="1" fieldPosition="0">
        <references count="1">
          <reference field="12" count="0"/>
        </references>
      </pivotArea>
    </format>
    <format dxfId="306">
      <pivotArea collapsedLevelsAreSubtotals="1" fieldPosition="0">
        <references count="1">
          <reference field="12" count="0"/>
        </references>
      </pivotArea>
    </format>
    <format dxfId="305">
      <pivotArea dataOnly="0" labelOnly="1" fieldPosition="0">
        <references count="1">
          <reference field="12" count="0"/>
        </references>
      </pivotArea>
    </format>
    <format dxfId="304">
      <pivotArea type="all" dataOnly="0" outline="0" fieldPosition="0"/>
    </format>
    <format dxfId="303">
      <pivotArea outline="0" collapsedLevelsAreSubtotals="1" fieldPosition="0"/>
    </format>
    <format dxfId="302">
      <pivotArea field="12" type="button" dataOnly="0" labelOnly="1" outline="0" axis="axisRow" fieldPosition="0"/>
    </format>
    <format dxfId="301">
      <pivotArea dataOnly="0" labelOnly="1" fieldPosition="0">
        <references count="1">
          <reference field="12" count="0"/>
        </references>
      </pivotArea>
    </format>
    <format dxfId="300">
      <pivotArea dataOnly="0" labelOnly="1" grandRow="1" outline="0" fieldPosition="0"/>
    </format>
    <format dxfId="299">
      <pivotArea dataOnly="0" labelOnly="1" outline="0" fieldPosition="0">
        <references count="1">
          <reference field="4294967294" count="2">
            <x v="0"/>
            <x v="1"/>
          </reference>
        </references>
      </pivotArea>
    </format>
    <format dxfId="298">
      <pivotArea type="all" dataOnly="0" outline="0" fieldPosition="0"/>
    </format>
    <format dxfId="297">
      <pivotArea outline="0" collapsedLevelsAreSubtotals="1" fieldPosition="0"/>
    </format>
    <format dxfId="296">
      <pivotArea field="12" type="button" dataOnly="0" labelOnly="1" outline="0" axis="axisRow" fieldPosition="0"/>
    </format>
    <format dxfId="295">
      <pivotArea dataOnly="0" labelOnly="1" fieldPosition="0">
        <references count="1">
          <reference field="12" count="0"/>
        </references>
      </pivotArea>
    </format>
    <format dxfId="294">
      <pivotArea dataOnly="0" labelOnly="1" grandRow="1" outline="0" fieldPosition="0"/>
    </format>
    <format dxfId="293">
      <pivotArea dataOnly="0" labelOnly="1" outline="0" fieldPosition="0">
        <references count="1">
          <reference field="4294967294" count="2">
            <x v="0"/>
            <x v="1"/>
          </reference>
        </references>
      </pivotArea>
    </format>
    <format dxfId="292">
      <pivotArea field="12" type="button" dataOnly="0" labelOnly="1" outline="0" axis="axisRow" fieldPosition="0"/>
    </format>
    <format dxfId="291">
      <pivotArea dataOnly="0" labelOnly="1" outline="0" fieldPosition="0">
        <references count="1">
          <reference field="4294967294" count="2">
            <x v="0"/>
            <x v="1"/>
          </reference>
        </references>
      </pivotArea>
    </format>
    <format dxfId="290">
      <pivotArea outline="0" collapsedLevelsAreSubtotals="1" fieldPosition="0">
        <references count="1">
          <reference field="4294967294" count="1" selected="0">
            <x v="1"/>
          </reference>
        </references>
      </pivotArea>
    </format>
    <format dxfId="289">
      <pivotArea outline="0" collapsedLevelsAreSubtotals="1" fieldPosition="0">
        <references count="1">
          <reference field="4294967294" count="1" selected="0">
            <x v="0"/>
          </reference>
        </references>
      </pivotArea>
    </format>
    <format dxfId="288">
      <pivotArea collapsedLevelsAreSubtotals="1" fieldPosition="0">
        <references count="2">
          <reference field="4294967294" count="1" selected="0">
            <x v="1"/>
          </reference>
          <reference field="12" count="1">
            <x v="1"/>
          </reference>
        </references>
      </pivotArea>
    </format>
    <format dxfId="287">
      <pivotArea dataOnly="0" labelOnly="1" fieldPosition="0">
        <references count="1">
          <reference field="12" count="0"/>
        </references>
      </pivotArea>
    </format>
    <format dxfId="286">
      <pivotArea dataOnly="0" labelOnly="1" grandRow="1" outline="0" fieldPosition="0"/>
    </format>
    <format dxfId="285">
      <pivotArea collapsedLevelsAreSubtotals="1" fieldPosition="0">
        <references count="2">
          <reference field="4294967294" count="1" selected="0">
            <x v="0"/>
          </reference>
          <reference field="12" count="1">
            <x v="2"/>
          </reference>
        </references>
      </pivotArea>
    </format>
    <format dxfId="284">
      <pivotArea collapsedLevelsAreSubtotals="1" fieldPosition="0">
        <references count="2">
          <reference field="4294967294" count="1" selected="0">
            <x v="1"/>
          </reference>
          <reference field="12" count="1">
            <x v="2"/>
          </reference>
        </references>
      </pivotArea>
    </format>
    <format dxfId="283">
      <pivotArea collapsedLevelsAreSubtotals="1" fieldPosition="0">
        <references count="2">
          <reference field="4294967294" count="1" selected="0">
            <x v="1"/>
          </reference>
          <reference field="12" count="1">
            <x v="2"/>
          </reference>
        </references>
      </pivotArea>
    </format>
    <format dxfId="282">
      <pivotArea field="12" grandRow="1" outline="0" collapsedLevelsAreSubtotals="1" axis="axisRow" fieldPosition="0">
        <references count="1">
          <reference field="4294967294" count="1" selected="0">
            <x v="0"/>
          </reference>
        </references>
      </pivotArea>
    </format>
    <format dxfId="281">
      <pivotArea field="12" grandRow="1" outline="0" collapsedLevelsAreSubtotals="1" axis="axisRow" fieldPosition="0">
        <references count="1">
          <reference field="4294967294" count="1" selected="0">
            <x v="1"/>
          </reference>
        </references>
      </pivotArea>
    </format>
    <format dxfId="280">
      <pivotArea collapsedLevelsAreSubtotals="1" fieldPosition="0">
        <references count="2">
          <reference field="4294967294" count="1" selected="0">
            <x v="1"/>
          </reference>
          <reference field="12" count="1">
            <x v="0"/>
          </reference>
        </references>
      </pivotArea>
    </format>
    <format dxfId="279">
      <pivotArea dataOnly="0" labelOnly="1" outline="0" fieldPosition="0">
        <references count="1">
          <reference field="4294967294" count="1">
            <x v="1"/>
          </reference>
        </references>
      </pivotArea>
    </format>
    <format dxfId="278">
      <pivotArea collapsedLevelsAreSubtotals="1" fieldPosition="0">
        <references count="2">
          <reference field="4294967294" count="1" selected="0">
            <x v="1"/>
          </reference>
          <reference field="12" count="1">
            <x v="1"/>
          </reference>
        </references>
      </pivotArea>
    </format>
    <format dxfId="277">
      <pivotArea collapsedLevelsAreSubtotals="1" fieldPosition="0">
        <references count="2">
          <reference field="4294967294" count="1" selected="0">
            <x v="1"/>
          </reference>
          <reference field="12" count="1">
            <x v="2"/>
          </reference>
        </references>
      </pivotArea>
    </format>
    <format dxfId="276">
      <pivotArea field="12" grandRow="1" outline="0" collapsedLevelsAreSubtotals="1" axis="axisRow" fieldPosition="0">
        <references count="1">
          <reference field="4294967294" count="1" selected="0">
            <x v="1"/>
          </reference>
        </references>
      </pivotArea>
    </format>
    <format dxfId="275">
      <pivotArea dataOnly="0" labelOnly="1" fieldPosition="0">
        <references count="1">
          <reference field="12" count="1">
            <x v="2"/>
          </reference>
        </references>
      </pivotArea>
    </format>
    <format dxfId="274">
      <pivotArea field="12" grandRow="1" outline="0" collapsedLevelsAreSubtotals="1" axis="axisRow" fieldPosition="0">
        <references count="1">
          <reference field="4294967294" count="1" selected="0">
            <x v="0"/>
          </reference>
        </references>
      </pivotArea>
    </format>
    <format dxfId="273">
      <pivotArea collapsedLevelsAreSubtotals="1" fieldPosition="0">
        <references count="2">
          <reference field="4294967294" count="1" selected="0">
            <x v="0"/>
          </reference>
          <reference field="12" count="1">
            <x v="0"/>
          </reference>
        </references>
      </pivotArea>
    </format>
    <format dxfId="272">
      <pivotArea collapsedLevelsAreSubtotals="1" fieldPosition="0">
        <references count="2">
          <reference field="4294967294" count="1" selected="0">
            <x v="0"/>
          </reference>
          <reference field="12" count="1">
            <x v="2"/>
          </reference>
        </references>
      </pivotArea>
    </format>
    <format dxfId="271">
      <pivotArea collapsedLevelsAreSubtotals="1" fieldPosition="0">
        <references count="2">
          <reference field="4294967294" count="1" selected="0">
            <x v="0"/>
          </reference>
          <reference field="12" count="1">
            <x v="1"/>
          </reference>
        </references>
      </pivotArea>
    </format>
    <format dxfId="270">
      <pivotArea dataOnly="0" labelOnly="1" grandRow="1" outline="0" fieldPosition="0"/>
    </format>
    <format dxfId="269">
      <pivotArea field="12" grandRow="1" outline="0" collapsedLevelsAreSubtotals="1" axis="axisRow" fieldPosition="0">
        <references count="1">
          <reference field="4294967294" count="1" selected="0">
            <x v="1"/>
          </reference>
        </references>
      </pivotArea>
    </format>
    <format dxfId="268">
      <pivotArea field="12" grandRow="1" outline="0" collapsedLevelsAreSubtotals="1" axis="axisRow" fieldPosition="0">
        <references count="1">
          <reference field="4294967294" count="1" selected="0">
            <x v="0"/>
          </reference>
        </references>
      </pivotArea>
    </format>
    <format dxfId="267">
      <pivotArea collapsedLevelsAreSubtotals="1" fieldPosition="0">
        <references count="2">
          <reference field="4294967294" count="1" selected="0">
            <x v="0"/>
          </reference>
          <reference field="12" count="1">
            <x v="1"/>
          </reference>
        </references>
      </pivotArea>
    </format>
    <format dxfId="266">
      <pivotArea collapsedLevelsAreSubtotals="1" fieldPosition="0">
        <references count="2">
          <reference field="4294967294" count="1" selected="0">
            <x v="0"/>
          </reference>
          <reference field="12" count="1">
            <x v="0"/>
          </reference>
        </references>
      </pivotArea>
    </format>
    <format dxfId="265">
      <pivotArea dataOnly="0" labelOnly="1" fieldPosition="0">
        <references count="1">
          <reference field="12" count="1">
            <x v="2"/>
          </reference>
        </references>
      </pivotArea>
    </format>
    <format dxfId="264">
      <pivotArea dataOnly="0" labelOnly="1" fieldPosition="0">
        <references count="1">
          <reference field="12" count="1">
            <x v="0"/>
          </reference>
        </references>
      </pivotArea>
    </format>
    <format dxfId="263">
      <pivotArea collapsedLevelsAreSubtotals="1" fieldPosition="0">
        <references count="2">
          <reference field="4294967294" count="1" selected="0">
            <x v="1"/>
          </reference>
          <reference field="12" count="1">
            <x v="1"/>
          </reference>
        </references>
      </pivotArea>
    </format>
    <format dxfId="262">
      <pivotArea dataOnly="0" labelOnly="1" fieldPosition="0">
        <references count="1">
          <reference field="12" count="1">
            <x v="1"/>
          </reference>
        </references>
      </pivotArea>
    </format>
    <format dxfId="261">
      <pivotArea dataOnly="0" labelOnly="1" fieldPosition="0">
        <references count="1">
          <reference field="12" count="1">
            <x v="2"/>
          </reference>
        </references>
      </pivotArea>
    </format>
    <format dxfId="260">
      <pivotArea dataOnly="0" labelOnly="1" grandRow="1" outline="0" fieldPosition="0"/>
    </format>
    <format dxfId="259">
      <pivotArea collapsedLevelsAreSubtotals="1" fieldPosition="0">
        <references count="2">
          <reference field="4294967294" count="1" selected="0">
            <x v="1"/>
          </reference>
          <reference field="12" count="1">
            <x v="1"/>
          </reference>
        </references>
      </pivotArea>
    </format>
    <format dxfId="258">
      <pivotArea dataOnly="0" labelOnly="1" outline="0" fieldPosition="0">
        <references count="1">
          <reference field="4294967294" count="1">
            <x v="0"/>
          </reference>
        </references>
      </pivotArea>
    </format>
    <format dxfId="257">
      <pivotArea collapsedLevelsAreSubtotals="1" fieldPosition="0">
        <references count="2">
          <reference field="4294967294" count="1" selected="0">
            <x v="1"/>
          </reference>
          <reference field="12" count="1">
            <x v="2"/>
          </reference>
        </references>
      </pivotArea>
    </format>
    <format dxfId="256">
      <pivotArea collapsedLevelsAreSubtotals="1" fieldPosition="0">
        <references count="2">
          <reference field="4294967294" count="1" selected="0">
            <x v="1"/>
          </reference>
          <reference field="12" count="1">
            <x v="2"/>
          </reference>
        </references>
      </pivotArea>
    </format>
    <format dxfId="255">
      <pivotArea collapsedLevelsAreSubtotals="1" fieldPosition="0">
        <references count="2">
          <reference field="4294967294" count="1" selected="0">
            <x v="1"/>
          </reference>
          <reference field="12" count="1">
            <x v="2"/>
          </reference>
        </references>
      </pivotArea>
    </format>
    <format dxfId="254">
      <pivotArea collapsedLevelsAreSubtotals="1" fieldPosition="0">
        <references count="2">
          <reference field="4294967294" count="1" selected="0">
            <x v="1"/>
          </reference>
          <reference field="12" count="1">
            <x v="2"/>
          </reference>
        </references>
      </pivotArea>
    </format>
    <format dxfId="253">
      <pivotArea collapsedLevelsAreSubtotals="1" fieldPosition="0">
        <references count="2">
          <reference field="4294967294" count="1" selected="0">
            <x v="1"/>
          </reference>
          <reference field="12" count="1">
            <x v="2"/>
          </reference>
        </references>
      </pivotArea>
    </format>
    <format dxfId="252">
      <pivotArea collapsedLevelsAreSubtotals="1" fieldPosition="0">
        <references count="2">
          <reference field="4294967294" count="1" selected="0">
            <x v="1"/>
          </reference>
          <reference field="12" count="1">
            <x v="2"/>
          </reference>
        </references>
      </pivotArea>
    </format>
    <format dxfId="251">
      <pivotArea field="12" grandRow="1" outline="0" collapsedLevelsAreSubtotals="1" axis="axisRow" fieldPosition="0">
        <references count="1">
          <reference field="4294967294" count="1" selected="0">
            <x v="1"/>
          </reference>
        </references>
      </pivotArea>
    </format>
    <format dxfId="250">
      <pivotArea field="12" grandRow="1" outline="0" collapsedLevelsAreSubtotals="1" axis="axisRow" fieldPosition="0">
        <references count="1">
          <reference field="4294967294" count="1" selected="0">
            <x v="1"/>
          </reference>
        </references>
      </pivotArea>
    </format>
    <format dxfId="249">
      <pivotArea field="12" grandRow="1" outline="0" collapsedLevelsAreSubtotals="1" axis="axisRow" fieldPosition="0">
        <references count="1">
          <reference field="4294967294" count="1" selected="0">
            <x v="0"/>
          </reference>
        </references>
      </pivotArea>
    </format>
    <format dxfId="248">
      <pivotArea collapsedLevelsAreSubtotals="1" fieldPosition="0">
        <references count="2">
          <reference field="4294967294" count="1" selected="0">
            <x v="1"/>
          </reference>
          <reference field="12" count="1">
            <x v="2"/>
          </reference>
        </references>
      </pivotArea>
    </format>
    <format dxfId="3">
      <pivotArea collapsedLevelsAreSubtotals="1" fieldPosition="0">
        <references count="2">
          <reference field="4294967294" count="1" selected="0">
            <x v="1"/>
          </reference>
          <reference field="12" count="1">
            <x v="2"/>
          </reference>
        </references>
      </pivotArea>
    </format>
    <format dxfId="2">
      <pivotArea collapsedLevelsAreSubtotals="1" fieldPosition="0">
        <references count="2">
          <reference field="4294967294" count="1" selected="0">
            <x v="1"/>
          </reference>
          <reference field="12" count="1">
            <x v="2"/>
          </reference>
        </references>
      </pivotArea>
    </format>
    <format dxfId="0">
      <pivotArea collapsedLevelsAreSubtotals="1" fieldPosition="0">
        <references count="2">
          <reference field="4294967294" count="1" selected="0">
            <x v="1"/>
          </reference>
          <reference field="12" count="1">
            <x v="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C13D31-4AC3-45A3-8561-78884F953F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19">
    <pivotField showAll="0"/>
    <pivotField showAll="0"/>
    <pivotField showAll="0"/>
    <pivotField showAll="0"/>
    <pivotField showAll="0"/>
    <pivotField numFmtId="14" showAll="0"/>
    <pivotField showAll="0">
      <items count="24">
        <item x="18"/>
        <item x="4"/>
        <item x="21"/>
        <item x="17"/>
        <item x="1"/>
        <item x="9"/>
        <item x="2"/>
        <item x="22"/>
        <item x="19"/>
        <item x="7"/>
        <item x="3"/>
        <item x="12"/>
        <item x="5"/>
        <item x="8"/>
        <item x="16"/>
        <item x="20"/>
        <item x="11"/>
        <item x="0"/>
        <item x="13"/>
        <item x="6"/>
        <item x="15"/>
        <item x="10"/>
        <item x="14"/>
        <item t="default"/>
      </items>
    </pivotField>
    <pivotField showAll="0"/>
    <pivotField axis="axisRow" showAll="0">
      <items count="11">
        <item x="9"/>
        <item x="0"/>
        <item x="2"/>
        <item x="7"/>
        <item x="3"/>
        <item x="8"/>
        <item x="5"/>
        <item x="6"/>
        <item x="1"/>
        <item x="4"/>
        <item t="default"/>
      </items>
    </pivotField>
    <pivotField showAll="0"/>
    <pivotField showAll="0"/>
    <pivotField showAll="0"/>
    <pivotField showAll="0">
      <items count="4">
        <item x="0"/>
        <item x="1"/>
        <item x="2"/>
        <item t="default"/>
      </items>
    </pivotField>
    <pivotField showAll="0"/>
    <pivotField dataField="1" showAll="0"/>
    <pivotField numFmtId="164"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Sum of Revenue" fld="14" baseField="0" baseItem="0"/>
  </dataFields>
  <formats count="46">
    <format dxfId="247">
      <pivotArea type="all" dataOnly="0" outline="0" fieldPosition="0"/>
    </format>
    <format dxfId="246">
      <pivotArea outline="0" collapsedLevelsAreSubtotals="1" fieldPosition="0"/>
    </format>
    <format dxfId="245">
      <pivotArea field="8" type="button" dataOnly="0" labelOnly="1" outline="0" axis="axisRow" fieldPosition="0"/>
    </format>
    <format dxfId="244">
      <pivotArea dataOnly="0" labelOnly="1" fieldPosition="0">
        <references count="1">
          <reference field="8" count="0"/>
        </references>
      </pivotArea>
    </format>
    <format dxfId="243">
      <pivotArea dataOnly="0" labelOnly="1" grandRow="1" outline="0" fieldPosition="0"/>
    </format>
    <format dxfId="242">
      <pivotArea dataOnly="0" labelOnly="1" outline="0" axis="axisValues" fieldPosition="0"/>
    </format>
    <format dxfId="241">
      <pivotArea field="8" type="button" dataOnly="0" labelOnly="1" outline="0" axis="axisRow"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field="8" type="button" dataOnly="0" labelOnly="1" outline="0" axis="axisRow" fieldPosition="0"/>
    </format>
    <format dxfId="236">
      <pivotArea dataOnly="0" labelOnly="1" fieldPosition="0">
        <references count="1">
          <reference field="8" count="0"/>
        </references>
      </pivotArea>
    </format>
    <format dxfId="235">
      <pivotArea dataOnly="0" labelOnly="1" grandRow="1" outline="0" fieldPosition="0"/>
    </format>
    <format dxfId="234">
      <pivotArea dataOnly="0" labelOnly="1" outline="0" axis="axisValues" fieldPosition="0"/>
    </format>
    <format dxfId="233">
      <pivotArea dataOnly="0" labelOnly="1" grandRow="1" outline="0" fieldPosition="0"/>
    </format>
    <format dxfId="232">
      <pivotArea type="all" dataOnly="0" outline="0" fieldPosition="0"/>
    </format>
    <format dxfId="231">
      <pivotArea outline="0" collapsedLevelsAreSubtotals="1" fieldPosition="0"/>
    </format>
    <format dxfId="230">
      <pivotArea field="8" type="button" dataOnly="0" labelOnly="1" outline="0" axis="axisRow" fieldPosition="0"/>
    </format>
    <format dxfId="229">
      <pivotArea dataOnly="0" labelOnly="1" grandRow="1" outline="0" fieldPosition="0"/>
    </format>
    <format dxfId="228">
      <pivotArea dataOnly="0" labelOnly="1" outline="0" axis="axisValues" fieldPosition="0"/>
    </format>
    <format dxfId="227">
      <pivotArea type="all" dataOnly="0" outline="0" fieldPosition="0"/>
    </format>
    <format dxfId="226">
      <pivotArea field="8" type="button" dataOnly="0" labelOnly="1" outline="0" axis="axisRow" fieldPosition="0"/>
    </format>
    <format dxfId="225">
      <pivotArea field="8" type="button" dataOnly="0" labelOnly="1" outline="0" axis="axisRow" fieldPosition="0"/>
    </format>
    <format dxfId="224">
      <pivotArea field="8" type="button" dataOnly="0" labelOnly="1" outline="0" axis="axisRow" fieldPosition="0"/>
    </format>
    <format dxfId="223">
      <pivotArea dataOnly="0" labelOnly="1" outline="0" axis="axisValues" fieldPosition="0"/>
    </format>
    <format dxfId="222">
      <pivotArea dataOnly="0" labelOnly="1" grandRow="1" outline="0" fieldPosition="0"/>
    </format>
    <format dxfId="221">
      <pivotArea dataOnly="0" labelOnly="1" grandRow="1" outline="0" fieldPosition="0"/>
    </format>
    <format dxfId="220">
      <pivotArea grandRow="1" outline="0" collapsedLevelsAreSubtotals="1" fieldPosition="0"/>
    </format>
    <format dxfId="219">
      <pivotArea grandRow="1" outline="0" collapsedLevelsAreSubtotals="1" fieldPosition="0"/>
    </format>
    <format dxfId="218">
      <pivotArea dataOnly="0" labelOnly="1" grandRow="1" outline="0" fieldPosition="0"/>
    </format>
    <format dxfId="217">
      <pivotArea dataOnly="0" labelOnly="1" grandRow="1" outline="0" fieldPosition="0"/>
    </format>
    <format dxfId="216">
      <pivotArea field="8" type="button" dataOnly="0" labelOnly="1" outline="0" axis="axisRow" fieldPosition="0"/>
    </format>
    <format dxfId="215">
      <pivotArea dataOnly="0" labelOnly="1" outline="0" axis="axisValues" fieldPosition="0"/>
    </format>
    <format dxfId="214">
      <pivotArea dataOnly="0" labelOnly="1" grandRow="1" outline="0" fieldPosition="0"/>
    </format>
    <format dxfId="213">
      <pivotArea grandRow="1" outline="0" collapsedLevelsAreSubtotals="1" fieldPosition="0"/>
    </format>
    <format dxfId="212">
      <pivotArea type="all" dataOnly="0" outline="0" fieldPosition="0"/>
    </format>
    <format dxfId="211">
      <pivotArea collapsedLevelsAreSubtotals="1" fieldPosition="0">
        <references count="1">
          <reference field="8" count="0"/>
        </references>
      </pivotArea>
    </format>
    <format dxfId="210">
      <pivotArea dataOnly="0" labelOnly="1" fieldPosition="0">
        <references count="1">
          <reference field="8" count="0"/>
        </references>
      </pivotArea>
    </format>
    <format dxfId="209">
      <pivotArea type="all" dataOnly="0" outline="0" fieldPosition="0"/>
    </format>
    <format dxfId="208">
      <pivotArea outline="0" collapsedLevelsAreSubtotals="1" fieldPosition="0"/>
    </format>
    <format dxfId="207">
      <pivotArea field="8" type="button" dataOnly="0" labelOnly="1" outline="0" axis="axisRow" fieldPosition="0"/>
    </format>
    <format dxfId="206">
      <pivotArea dataOnly="0" labelOnly="1" fieldPosition="0">
        <references count="1">
          <reference field="8" count="0"/>
        </references>
      </pivotArea>
    </format>
    <format dxfId="205">
      <pivotArea dataOnly="0" labelOnly="1" grandRow="1" outline="0" fieldPosition="0"/>
    </format>
    <format dxfId="204">
      <pivotArea dataOnly="0" labelOnly="1" outline="0" axis="axisValues" fieldPosition="0"/>
    </format>
    <format dxfId="203">
      <pivotArea dataOnly="0" labelOnly="1" fieldPosition="0">
        <references count="1">
          <reference field="8" count="0"/>
        </references>
      </pivotArea>
    </format>
    <format dxfId="202">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D18825-5E80-4C6E-9B55-DB09A66D3F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Gender wise sales">
  <location ref="A3:B6" firstHeaderRow="1" firstDataRow="1" firstDataCol="1"/>
  <pivotFields count="19">
    <pivotField showAll="0"/>
    <pivotField showAll="0"/>
    <pivotField showAll="0"/>
    <pivotField axis="axisRow" showAll="0">
      <items count="3">
        <item x="1"/>
        <item x="0"/>
        <item t="default"/>
      </items>
    </pivotField>
    <pivotField showAll="0"/>
    <pivotField numFmtId="14" showAll="0"/>
    <pivotField showAll="0">
      <items count="24">
        <item x="18"/>
        <item x="4"/>
        <item x="21"/>
        <item x="17"/>
        <item x="1"/>
        <item x="9"/>
        <item x="2"/>
        <item x="22"/>
        <item x="19"/>
        <item x="7"/>
        <item x="3"/>
        <item x="12"/>
        <item x="5"/>
        <item x="8"/>
        <item x="16"/>
        <item x="20"/>
        <item x="11"/>
        <item x="0"/>
        <item x="13"/>
        <item x="6"/>
        <item x="15"/>
        <item x="10"/>
        <item x="14"/>
        <item t="default"/>
      </items>
    </pivotField>
    <pivotField showAll="0"/>
    <pivotField showAll="0">
      <items count="11">
        <item x="9"/>
        <item x="0"/>
        <item x="2"/>
        <item x="7"/>
        <item x="3"/>
        <item x="8"/>
        <item x="5"/>
        <item x="6"/>
        <item x="1"/>
        <item x="4"/>
        <item t="default"/>
      </items>
    </pivotField>
    <pivotField showAll="0"/>
    <pivotField showAll="0"/>
    <pivotField showAll="0"/>
    <pivotField showAll="0">
      <items count="4">
        <item x="0"/>
        <item x="1"/>
        <item x="2"/>
        <item t="default"/>
      </items>
    </pivotField>
    <pivotField showAll="0"/>
    <pivotField dataField="1" showAll="0"/>
    <pivotField numFmtId="164" showAll="0"/>
    <pivotField showAll="0"/>
    <pivotField showAll="0"/>
    <pivotField showAll="0"/>
  </pivotFields>
  <rowFields count="1">
    <field x="3"/>
  </rowFields>
  <rowItems count="3">
    <i>
      <x/>
    </i>
    <i>
      <x v="1"/>
    </i>
    <i t="grand">
      <x/>
    </i>
  </rowItems>
  <colItems count="1">
    <i/>
  </colItems>
  <dataFields count="1">
    <dataField name=" % Revenue" fld="14" showDataAs="percentOfTotal" baseField="0" baseItem="0" numFmtId="10"/>
  </dataFields>
  <formats count="58">
    <format dxfId="201">
      <pivotArea type="all" dataOnly="0" outline="0" fieldPosition="0"/>
    </format>
    <format dxfId="200">
      <pivotArea outline="0" collapsedLevelsAreSubtotals="1" fieldPosition="0"/>
    </format>
    <format dxfId="199">
      <pivotArea field="3" type="button" dataOnly="0" labelOnly="1" outline="0" axis="axisRow" fieldPosition="0"/>
    </format>
    <format dxfId="198">
      <pivotArea dataOnly="0" labelOnly="1" fieldPosition="0">
        <references count="1">
          <reference field="3" count="0"/>
        </references>
      </pivotArea>
    </format>
    <format dxfId="197">
      <pivotArea dataOnly="0" labelOnly="1" grandRow="1" outline="0" fieldPosition="0"/>
    </format>
    <format dxfId="196">
      <pivotArea type="all" dataOnly="0" outline="0" fieldPosition="0"/>
    </format>
    <format dxfId="195">
      <pivotArea outline="0" collapsedLevelsAreSubtotals="1" fieldPosition="0"/>
    </format>
    <format dxfId="194">
      <pivotArea field="3" type="button" dataOnly="0" labelOnly="1" outline="0" axis="axisRow" fieldPosition="0"/>
    </format>
    <format dxfId="193">
      <pivotArea dataOnly="0" labelOnly="1" fieldPosition="0">
        <references count="1">
          <reference field="3" count="0"/>
        </references>
      </pivotArea>
    </format>
    <format dxfId="192">
      <pivotArea dataOnly="0" labelOnly="1" grandRow="1" outline="0"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3" type="button" dataOnly="0" labelOnly="1" outline="0" axis="axisRow" fieldPosition="0"/>
    </format>
    <format dxfId="187">
      <pivotArea dataOnly="0" labelOnly="1" fieldPosition="0">
        <references count="1">
          <reference field="3" count="0"/>
        </references>
      </pivotArea>
    </format>
    <format dxfId="186">
      <pivotArea dataOnly="0" labelOnly="1" grandRow="1" outline="0" fieldPosition="0"/>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field="3" type="button" dataOnly="0" labelOnly="1" outline="0" axis="axisRow" fieldPosition="0"/>
    </format>
    <format dxfId="181">
      <pivotArea dataOnly="0" labelOnly="1" fieldPosition="0">
        <references count="1">
          <reference field="3" count="0"/>
        </references>
      </pivotArea>
    </format>
    <format dxfId="180">
      <pivotArea dataOnly="0" labelOnly="1" grandRow="1" outline="0" fieldPosition="0"/>
    </format>
    <format dxfId="179">
      <pivotArea dataOnly="0" labelOnly="1" outline="0" axis="axisValues" fieldPosition="0"/>
    </format>
    <format dxfId="178">
      <pivotArea dataOnly="0" labelOnly="1" fieldPosition="0">
        <references count="1">
          <reference field="3" count="1">
            <x v="0"/>
          </reference>
        </references>
      </pivotArea>
    </format>
    <format dxfId="177">
      <pivotArea dataOnly="0" labelOnly="1" grandRow="1" outline="0" fieldPosition="0"/>
    </format>
    <format dxfId="176">
      <pivotArea collapsedLevelsAreSubtotals="1" fieldPosition="0">
        <references count="1">
          <reference field="3" count="1">
            <x v="0"/>
          </reference>
        </references>
      </pivotArea>
    </format>
    <format dxfId="175">
      <pivotArea grandRow="1" outline="0" collapsedLevelsAreSubtotals="1" fieldPosition="0"/>
    </format>
    <format dxfId="174">
      <pivotArea collapsedLevelsAreSubtotals="1" fieldPosition="0">
        <references count="1">
          <reference field="3" count="1">
            <x v="0"/>
          </reference>
        </references>
      </pivotArea>
    </format>
    <format dxfId="173">
      <pivotArea outline="0" fieldPosition="0">
        <references count="1">
          <reference field="4294967294" count="1">
            <x v="0"/>
          </reference>
        </references>
      </pivotArea>
    </format>
    <format dxfId="172">
      <pivotArea field="3" type="button" dataOnly="0" labelOnly="1" outline="0" axis="axisRow" fieldPosition="0"/>
    </format>
    <format dxfId="171">
      <pivotArea dataOnly="0" labelOnly="1" outline="0" axis="axisValues" fieldPosition="0"/>
    </format>
    <format dxfId="170">
      <pivotArea grandRow="1" outline="0" collapsedLevelsAreSubtotals="1" fieldPosition="0"/>
    </format>
    <format dxfId="169">
      <pivotArea dataOnly="0" labelOnly="1" grandRow="1" outline="0" fieldPosition="0"/>
    </format>
    <format dxfId="168">
      <pivotArea field="3" type="button" dataOnly="0" labelOnly="1" outline="0" axis="axisRow" fieldPosition="0"/>
    </format>
    <format dxfId="167">
      <pivotArea dataOnly="0" labelOnly="1" outline="0" axis="axisValues" fieldPosition="0"/>
    </format>
    <format dxfId="166">
      <pivotArea dataOnly="0" labelOnly="1" fieldPosition="0">
        <references count="1">
          <reference field="3" count="1">
            <x v="0"/>
          </reference>
        </references>
      </pivotArea>
    </format>
    <format dxfId="165">
      <pivotArea dataOnly="0" fieldPosition="0">
        <references count="1">
          <reference field="3" count="1">
            <x v="1"/>
          </reference>
        </references>
      </pivotArea>
    </format>
    <format dxfId="164">
      <pivotArea collapsedLevelsAreSubtotals="1" fieldPosition="0">
        <references count="1">
          <reference field="3" count="1">
            <x v="0"/>
          </reference>
        </references>
      </pivotArea>
    </format>
    <format dxfId="163">
      <pivotArea type="all" dataOnly="0" outline="0" fieldPosition="0"/>
    </format>
    <format dxfId="162">
      <pivotArea outline="0" collapsedLevelsAreSubtotals="1" fieldPosition="0"/>
    </format>
    <format dxfId="161">
      <pivotArea field="3" type="button" dataOnly="0" labelOnly="1" outline="0" axis="axisRow" fieldPosition="0"/>
    </format>
    <format dxfId="160">
      <pivotArea dataOnly="0" labelOnly="1" fieldPosition="0">
        <references count="1">
          <reference field="3" count="0"/>
        </references>
      </pivotArea>
    </format>
    <format dxfId="159">
      <pivotArea dataOnly="0" labelOnly="1" grandRow="1" outline="0" fieldPosition="0"/>
    </format>
    <format dxfId="158">
      <pivotArea dataOnly="0" labelOnly="1" outline="0" axis="axisValues" fieldPosition="0"/>
    </format>
    <format dxfId="157">
      <pivotArea dataOnly="0" labelOnly="1" outline="0" axis="axisValues" fieldPosition="0"/>
    </format>
    <format dxfId="156">
      <pivotArea field="3" type="button" dataOnly="0" labelOnly="1" outline="0" axis="axisRow" fieldPosition="0"/>
    </format>
    <format dxfId="155">
      <pivotArea dataOnly="0" labelOnly="1" grandRow="1" outline="0" fieldPosition="0"/>
    </format>
    <format dxfId="154">
      <pivotArea dataOnly="0" outline="0" axis="axisValues" fieldPosition="0"/>
    </format>
    <format dxfId="153">
      <pivotArea grandRow="1" outline="0" collapsedLevelsAreSubtotals="1" fieldPosition="0"/>
    </format>
    <format dxfId="152">
      <pivotArea type="all" dataOnly="0" outline="0" fieldPosition="0"/>
    </format>
    <format dxfId="151">
      <pivotArea outline="0" collapsedLevelsAreSubtotals="1" fieldPosition="0"/>
    </format>
    <format dxfId="150">
      <pivotArea field="3" type="button" dataOnly="0" labelOnly="1" outline="0" axis="axisRow" fieldPosition="0"/>
    </format>
    <format dxfId="149">
      <pivotArea dataOnly="0" labelOnly="1" fieldPosition="0">
        <references count="1">
          <reference field="3" count="0"/>
        </references>
      </pivotArea>
    </format>
    <format dxfId="148">
      <pivotArea dataOnly="0" labelOnly="1" grandRow="1" outline="0" fieldPosition="0"/>
    </format>
    <format dxfId="147">
      <pivotArea dataOnly="0" labelOnly="1" outline="0" axis="axisValues" fieldPosition="0"/>
    </format>
    <format dxfId="146">
      <pivotArea field="3" type="button" dataOnly="0" labelOnly="1" outline="0" axis="axisRow" fieldPosition="0"/>
    </format>
    <format dxfId="145">
      <pivotArea dataOnly="0" labelOnly="1" outline="0" axis="axisValues" fieldPosition="0"/>
    </format>
    <format dxfId="144">
      <pivotArea grandRow="1"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3" count="1" selected="0">
            <x v="0"/>
          </reference>
        </references>
      </pivotArea>
    </chartFormat>
    <chartFormat chart="15" format="8">
      <pivotArea type="data" outline="0" fieldPosition="0">
        <references count="2">
          <reference field="4294967294" count="1" selected="0">
            <x v="0"/>
          </reference>
          <reference field="3"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9AB7CA-A297-4567-A5B4-2EBEAD905F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27" firstHeaderRow="1" firstDataRow="1" firstDataCol="1"/>
  <pivotFields count="19">
    <pivotField showAll="0"/>
    <pivotField showAll="0"/>
    <pivotField showAll="0"/>
    <pivotField showAll="0"/>
    <pivotField showAll="0"/>
    <pivotField numFmtId="14" showAll="0"/>
    <pivotField axis="axisRow" showAll="0" sortType="descending">
      <items count="24">
        <item x="18"/>
        <item x="4"/>
        <item x="21"/>
        <item x="17"/>
        <item x="1"/>
        <item x="9"/>
        <item x="2"/>
        <item x="22"/>
        <item x="19"/>
        <item x="7"/>
        <item x="3"/>
        <item x="12"/>
        <item x="5"/>
        <item x="8"/>
        <item x="16"/>
        <item x="20"/>
        <item x="11"/>
        <item x="0"/>
        <item x="13"/>
        <item x="6"/>
        <item x="15"/>
        <item x="10"/>
        <item x="14"/>
        <item t="default"/>
      </items>
      <autoSortScope>
        <pivotArea dataOnly="0" outline="0" fieldPosition="0">
          <references count="1">
            <reference field="4294967294" count="1" selected="0">
              <x v="0"/>
            </reference>
          </references>
        </pivotArea>
      </autoSortScope>
    </pivotField>
    <pivotField showAll="0"/>
    <pivotField showAll="0">
      <items count="11">
        <item x="9"/>
        <item x="0"/>
        <item x="2"/>
        <item x="7"/>
        <item x="3"/>
        <item x="8"/>
        <item x="5"/>
        <item x="6"/>
        <item x="1"/>
        <item x="4"/>
        <item t="default"/>
      </items>
    </pivotField>
    <pivotField showAll="0"/>
    <pivotField showAll="0"/>
    <pivotField showAll="0"/>
    <pivotField showAll="0">
      <items count="4">
        <item x="0"/>
        <item x="1"/>
        <item x="2"/>
        <item t="default"/>
      </items>
    </pivotField>
    <pivotField showAll="0"/>
    <pivotField dataField="1" showAll="0"/>
    <pivotField numFmtId="164" showAll="0"/>
    <pivotField showAll="0"/>
    <pivotField showAll="0"/>
    <pivotField showAll="0"/>
  </pivotFields>
  <rowFields count="1">
    <field x="6"/>
  </rowFields>
  <rowItems count="24">
    <i>
      <x v="20"/>
    </i>
    <i>
      <x v="9"/>
    </i>
    <i>
      <x v="15"/>
    </i>
    <i>
      <x v="22"/>
    </i>
    <i>
      <x/>
    </i>
    <i>
      <x v="3"/>
    </i>
    <i>
      <x v="12"/>
    </i>
    <i>
      <x v="1"/>
    </i>
    <i>
      <x v="14"/>
    </i>
    <i>
      <x v="13"/>
    </i>
    <i>
      <x v="11"/>
    </i>
    <i>
      <x v="16"/>
    </i>
    <i>
      <x v="18"/>
    </i>
    <i>
      <x v="5"/>
    </i>
    <i>
      <x v="19"/>
    </i>
    <i>
      <x v="17"/>
    </i>
    <i>
      <x v="7"/>
    </i>
    <i>
      <x v="8"/>
    </i>
    <i>
      <x v="4"/>
    </i>
    <i>
      <x v="2"/>
    </i>
    <i>
      <x v="21"/>
    </i>
    <i>
      <x v="6"/>
    </i>
    <i>
      <x v="10"/>
    </i>
    <i t="grand">
      <x/>
    </i>
  </rowItems>
  <colItems count="1">
    <i/>
  </colItems>
  <dataFields count="1">
    <dataField name="Sum of Revenue" fld="14" baseField="0" baseItem="0"/>
  </dataFields>
  <formats count="56">
    <format dxfId="143">
      <pivotArea type="all" dataOnly="0" outline="0" fieldPosition="0"/>
    </format>
    <format dxfId="142">
      <pivotArea outline="0" collapsedLevelsAreSubtotals="1" fieldPosition="0"/>
    </format>
    <format dxfId="141">
      <pivotArea dataOnly="0" labelOnly="1" fieldPosition="0">
        <references count="1">
          <reference field="6" count="0"/>
        </references>
      </pivotArea>
    </format>
    <format dxfId="140">
      <pivotArea dataOnly="0" labelOnly="1" grandRow="1" outline="0" fieldPosition="0"/>
    </format>
    <format dxfId="139">
      <pivotArea field="6" type="button" dataOnly="0" labelOnly="1" outline="0" axis="axisRow" fieldPosition="0"/>
    </format>
    <format dxfId="138">
      <pivotArea dataOnly="0" labelOnly="1" outline="0" axis="axisValues" fieldPosition="0"/>
    </format>
    <format dxfId="137">
      <pivotArea field="6" type="button" dataOnly="0" labelOnly="1" outline="0" axis="axisRow" fieldPosition="0"/>
    </format>
    <format dxfId="136">
      <pivotArea dataOnly="0" labelOnly="1" fieldPosition="0">
        <references count="1">
          <reference field="6" count="1">
            <x v="3"/>
          </reference>
        </references>
      </pivotArea>
    </format>
    <format dxfId="135">
      <pivotArea dataOnly="0" labelOnly="1" fieldPosition="0">
        <references count="1">
          <reference field="6" count="1">
            <x v="3"/>
          </reference>
        </references>
      </pivotArea>
    </format>
    <format dxfId="134">
      <pivotArea dataOnly="0" labelOnly="1" fieldPosition="0">
        <references count="1">
          <reference field="6" count="1">
            <x v="3"/>
          </reference>
        </references>
      </pivotArea>
    </format>
    <format dxfId="133">
      <pivotArea collapsedLevelsAreSubtotals="1" fieldPosition="0">
        <references count="1">
          <reference field="6" count="1">
            <x v="3"/>
          </reference>
        </references>
      </pivotArea>
    </format>
    <format dxfId="132">
      <pivotArea dataOnly="0" labelOnly="1" fieldPosition="0">
        <references count="1">
          <reference field="6" count="1">
            <x v="3"/>
          </reference>
        </references>
      </pivotArea>
    </format>
    <format dxfId="131">
      <pivotArea dataOnly="0" labelOnly="1" fieldPosition="0">
        <references count="1">
          <reference field="6" count="1">
            <x v="3"/>
          </reference>
        </references>
      </pivotArea>
    </format>
    <format dxfId="130">
      <pivotArea dataOnly="0" labelOnly="1" fieldPosition="0">
        <references count="1">
          <reference field="6" count="1">
            <x v="8"/>
          </reference>
        </references>
      </pivotArea>
    </format>
    <format dxfId="129">
      <pivotArea dataOnly="0" labelOnly="1" fieldPosition="0">
        <references count="1">
          <reference field="6" count="1">
            <x v="9"/>
          </reference>
        </references>
      </pivotArea>
    </format>
    <format dxfId="128">
      <pivotArea dataOnly="0" labelOnly="1" fieldPosition="0">
        <references count="1">
          <reference field="6" count="1">
            <x v="9"/>
          </reference>
        </references>
      </pivotArea>
    </format>
    <format dxfId="127">
      <pivotArea dataOnly="0" labelOnly="1" fieldPosition="0">
        <references count="1">
          <reference field="6" count="1">
            <x v="8"/>
          </reference>
        </references>
      </pivotArea>
    </format>
    <format dxfId="126">
      <pivotArea collapsedLevelsAreSubtotals="1" fieldPosition="0">
        <references count="1">
          <reference field="6" count="1">
            <x v="8"/>
          </reference>
        </references>
      </pivotArea>
    </format>
    <format dxfId="125">
      <pivotArea collapsedLevelsAreSubtotals="1" fieldPosition="0">
        <references count="1">
          <reference field="6" count="0"/>
        </references>
      </pivotArea>
    </format>
    <format dxfId="124">
      <pivotArea dataOnly="0" labelOnly="1" fieldPosition="0">
        <references count="1">
          <reference field="6" count="0"/>
        </references>
      </pivotArea>
    </format>
    <format dxfId="123">
      <pivotArea dataOnly="0" labelOnly="1" outline="0" axis="axisValues" fieldPosition="0"/>
    </format>
    <format dxfId="122">
      <pivotArea dataOnly="0" labelOnly="1" fieldPosition="0">
        <references count="1">
          <reference field="6" count="1">
            <x v="4"/>
          </reference>
        </references>
      </pivotArea>
    </format>
    <format dxfId="121">
      <pivotArea collapsedLevelsAreSubtotals="1" fieldPosition="0">
        <references count="1">
          <reference field="6" count="1">
            <x v="3"/>
          </reference>
        </references>
      </pivotArea>
    </format>
    <format dxfId="120">
      <pivotArea dataOnly="0" labelOnly="1" fieldPosition="0">
        <references count="1">
          <reference field="6" count="1">
            <x v="13"/>
          </reference>
        </references>
      </pivotArea>
    </format>
    <format dxfId="119">
      <pivotArea collapsedLevelsAreSubtotals="1" fieldPosition="0">
        <references count="1">
          <reference field="6" count="1">
            <x v="13"/>
          </reference>
        </references>
      </pivotArea>
    </format>
    <format dxfId="118">
      <pivotArea collapsedLevelsAreSubtotals="1" fieldPosition="0">
        <references count="1">
          <reference field="6" count="1">
            <x v="14"/>
          </reference>
        </references>
      </pivotArea>
    </format>
    <format dxfId="117">
      <pivotArea dataOnly="0" labelOnly="1" fieldPosition="0">
        <references count="1">
          <reference field="6" count="1">
            <x v="14"/>
          </reference>
        </references>
      </pivotArea>
    </format>
    <format dxfId="116">
      <pivotArea collapsedLevelsAreSubtotals="1" fieldPosition="0">
        <references count="1">
          <reference field="6" count="1">
            <x v="4"/>
          </reference>
        </references>
      </pivotArea>
    </format>
    <format dxfId="115">
      <pivotArea collapsedLevelsAreSubtotals="1" fieldPosition="0">
        <references count="1">
          <reference field="6" count="1">
            <x v="9"/>
          </reference>
        </references>
      </pivotArea>
    </format>
    <format dxfId="114">
      <pivotArea dataOnly="0" labelOnly="1" fieldPosition="0">
        <references count="1">
          <reference field="6" count="1">
            <x v="18"/>
          </reference>
        </references>
      </pivotArea>
    </format>
    <format dxfId="113">
      <pivotArea dataOnly="0" labelOnly="1" fieldPosition="0">
        <references count="1">
          <reference field="6" count="1">
            <x v="19"/>
          </reference>
        </references>
      </pivotArea>
    </format>
    <format dxfId="112">
      <pivotArea collapsedLevelsAreSubtotals="1" fieldPosition="0">
        <references count="1">
          <reference field="6" count="1">
            <x v="18"/>
          </reference>
        </references>
      </pivotArea>
    </format>
    <format dxfId="111">
      <pivotArea collapsedLevelsAreSubtotals="1" fieldPosition="0">
        <references count="1">
          <reference field="6" count="1">
            <x v="19"/>
          </reference>
        </references>
      </pivotArea>
    </format>
    <format dxfId="110">
      <pivotArea outline="0" collapsedLevelsAreSubtotals="1" fieldPosition="0"/>
    </format>
    <format dxfId="109">
      <pivotArea dataOnly="0" labelOnly="1" outline="0" axis="axisValues" fieldPosition="0"/>
    </format>
    <format dxfId="108">
      <pivotArea dataOnly="0" labelOnly="1" grandRow="1" outline="0" fieldPosition="0"/>
    </format>
    <format dxfId="107">
      <pivotArea type="all" dataOnly="0" outline="0" fieldPosition="0"/>
    </format>
    <format dxfId="106">
      <pivotArea outline="0" collapsedLevelsAreSubtotals="1" fieldPosition="0"/>
    </format>
    <format dxfId="105">
      <pivotArea field="6" type="button" dataOnly="0" labelOnly="1" outline="0" axis="axisRow" fieldPosition="0"/>
    </format>
    <format dxfId="104">
      <pivotArea dataOnly="0" labelOnly="1" fieldPosition="0">
        <references count="1">
          <reference field="6" count="0"/>
        </references>
      </pivotArea>
    </format>
    <format dxfId="103">
      <pivotArea dataOnly="0" labelOnly="1" grandRow="1" outline="0" fieldPosition="0"/>
    </format>
    <format dxfId="102">
      <pivotArea dataOnly="0" labelOnly="1" outline="0" axis="axisValues" fieldPosition="0"/>
    </format>
    <format dxfId="101">
      <pivotArea dataOnly="0" labelOnly="1" outline="0" axis="axisValues" fieldPosition="0"/>
    </format>
    <format dxfId="100">
      <pivotArea dataOnly="0" labelOnly="1" grandRow="1" outline="0" fieldPosition="0"/>
    </format>
    <format dxfId="99">
      <pivotArea grandRow="1" outline="0" collapsedLevelsAreSubtotals="1" fieldPosition="0"/>
    </format>
    <format dxfId="98">
      <pivotArea dataOnly="0" labelOnly="1" outline="0" axis="axisValues" fieldPosition="0"/>
    </format>
    <format dxfId="97">
      <pivotArea field="6" type="button" dataOnly="0" labelOnly="1" outline="0" axis="axisRow" fieldPosition="0"/>
    </format>
    <format dxfId="96">
      <pivotArea dataOnly="0" outline="0" axis="axisValues" fieldPosition="0"/>
    </format>
    <format dxfId="95">
      <pivotArea collapsedLevelsAreSubtotals="1" fieldPosition="0">
        <references count="1">
          <reference field="6" count="0"/>
        </references>
      </pivotArea>
    </format>
    <format dxfId="94">
      <pivotArea dataOnly="0" labelOnly="1" fieldPosition="0">
        <references count="1">
          <reference field="6" count="0"/>
        </references>
      </pivotArea>
    </format>
    <format dxfId="93">
      <pivotArea type="all" dataOnly="0" outline="0" fieldPosition="0"/>
    </format>
    <format dxfId="92">
      <pivotArea outline="0" collapsedLevelsAreSubtotals="1" fieldPosition="0"/>
    </format>
    <format dxfId="91">
      <pivotArea field="6" type="button" dataOnly="0" labelOnly="1" outline="0" axis="axisRow" fieldPosition="0"/>
    </format>
    <format dxfId="90">
      <pivotArea dataOnly="0" labelOnly="1" fieldPosition="0">
        <references count="1">
          <reference field="6" count="0"/>
        </references>
      </pivotArea>
    </format>
    <format dxfId="89">
      <pivotArea dataOnly="0" labelOnly="1" grandRow="1" outline="0" fieldPosition="0"/>
    </format>
    <format dxfId="8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815A7B-2062-4DFF-9CFC-CD495332B6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PAYMENT METHOD">
  <location ref="A3:B7" firstHeaderRow="1" firstDataRow="1" firstDataCol="1"/>
  <pivotFields count="19">
    <pivotField showAll="0"/>
    <pivotField showAll="0"/>
    <pivotField showAll="0"/>
    <pivotField showAll="0">
      <items count="3">
        <item x="1"/>
        <item x="0"/>
        <item t="default"/>
      </items>
    </pivotField>
    <pivotField showAll="0"/>
    <pivotField numFmtId="14" showAll="0"/>
    <pivotField showAll="0">
      <items count="24">
        <item x="18"/>
        <item x="4"/>
        <item x="21"/>
        <item x="17"/>
        <item x="1"/>
        <item x="9"/>
        <item x="2"/>
        <item x="22"/>
        <item x="19"/>
        <item x="7"/>
        <item x="3"/>
        <item x="12"/>
        <item x="5"/>
        <item x="8"/>
        <item x="16"/>
        <item x="20"/>
        <item x="11"/>
        <item x="0"/>
        <item x="13"/>
        <item x="6"/>
        <item x="15"/>
        <item x="10"/>
        <item x="14"/>
        <item t="default"/>
      </items>
    </pivotField>
    <pivotField showAll="0"/>
    <pivotField showAll="0">
      <items count="11">
        <item x="9"/>
        <item x="0"/>
        <item x="2"/>
        <item x="7"/>
        <item x="3"/>
        <item x="8"/>
        <item x="5"/>
        <item x="6"/>
        <item x="1"/>
        <item x="4"/>
        <item t="default"/>
      </items>
    </pivotField>
    <pivotField showAll="0"/>
    <pivotField showAll="0"/>
    <pivotField showAll="0"/>
    <pivotField showAll="0">
      <items count="4">
        <item x="0"/>
        <item x="1"/>
        <item x="2"/>
        <item t="default"/>
      </items>
    </pivotField>
    <pivotField showAll="0"/>
    <pivotField dataField="1" showAll="0"/>
    <pivotField numFmtId="164" showAll="0"/>
    <pivotField axis="axisRow" showAll="0">
      <items count="4">
        <item x="2"/>
        <item x="1"/>
        <item x="0"/>
        <item t="default"/>
      </items>
    </pivotField>
    <pivotField showAll="0"/>
    <pivotField showAll="0"/>
  </pivotFields>
  <rowFields count="1">
    <field x="16"/>
  </rowFields>
  <rowItems count="4">
    <i>
      <x/>
    </i>
    <i>
      <x v="1"/>
    </i>
    <i>
      <x v="2"/>
    </i>
    <i t="grand">
      <x/>
    </i>
  </rowItems>
  <colItems count="1">
    <i/>
  </colItems>
  <dataFields count="1">
    <dataField name="% of REVENUE" fld="14" showDataAs="percentOfTotal" baseField="0" baseItem="0" numFmtId="10"/>
  </dataFields>
  <formats count="41">
    <format dxfId="87">
      <pivotArea field="16" type="button" dataOnly="0" labelOnly="1" outline="0" axis="axisRow"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dataOnly="0" labelOnly="1" fieldPosition="0">
        <references count="1">
          <reference field="16" count="0"/>
        </references>
      </pivotArea>
    </format>
    <format dxfId="82">
      <pivotArea dataOnly="0" labelOnly="1" grandRow="1" outline="0" fieldPosition="0"/>
    </format>
    <format dxfId="81">
      <pivotArea dataOnly="0" labelOnly="1" outline="0" axis="axisValues" fieldPosition="0"/>
    </format>
    <format dxfId="80">
      <pivotArea field="16" type="button" dataOnly="0" labelOnly="1" outline="0" axis="axisRow" fieldPosition="0"/>
    </format>
    <format dxfId="79">
      <pivotArea field="16" type="button" dataOnly="0" labelOnly="1" outline="0" axis="axisRow" fieldPosition="0"/>
    </format>
    <format dxfId="78">
      <pivotArea dataOnly="0" labelOnly="1" outline="0" axis="axisValues" fieldPosition="0"/>
    </format>
    <format dxfId="77">
      <pivotArea dataOnly="0" labelOnly="1" grandRow="1" outline="0" fieldPosition="0"/>
    </format>
    <format dxfId="76">
      <pivotArea dataOnly="0" labelOnly="1" grandRow="1" outline="0" fieldPosition="0"/>
    </format>
    <format dxfId="75">
      <pivotArea grandRow="1" outline="0" collapsedLevelsAreSubtotals="1" fieldPosition="0"/>
    </format>
    <format dxfId="74">
      <pivotArea dataOnly="0" labelOnly="1" grandRow="1" outline="0" fieldPosition="0"/>
    </format>
    <format dxfId="73">
      <pivotArea dataOnly="0" labelOnly="1" outline="0" axis="axisValues" fieldPosition="0"/>
    </format>
    <format dxfId="72">
      <pivotArea grandRow="1" outline="0" collapsedLevelsAreSubtotals="1" fieldPosition="0"/>
    </format>
    <format dxfId="71">
      <pivotArea type="all" dataOnly="0" outline="0" fieldPosition="0"/>
    </format>
    <format dxfId="70">
      <pivotArea dataOnly="0" labelOnly="1" outline="0" axis="axisValues" fieldPosition="0"/>
    </format>
    <format dxfId="69">
      <pivotArea dataOnly="0" labelOnly="1" outline="0" axis="axisValues"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16" type="button" dataOnly="0" labelOnly="1" outline="0" axis="axisRow" fieldPosition="0"/>
    </format>
    <format dxfId="64">
      <pivotArea dataOnly="0" labelOnly="1" fieldPosition="0">
        <references count="1">
          <reference field="16" count="0"/>
        </references>
      </pivotArea>
    </format>
    <format dxfId="63">
      <pivotArea dataOnly="0" labelOnly="1" grandRow="1" outline="0" fieldPosition="0"/>
    </format>
    <format dxfId="62">
      <pivotArea dataOnly="0" labelOnly="1" outline="0" axis="axisValues" fieldPosition="0"/>
    </format>
    <format dxfId="61">
      <pivotArea field="16" type="button" dataOnly="0" labelOnly="1" outline="0" axis="axisRow" fieldPosition="0"/>
    </format>
    <format dxfId="60">
      <pivotArea dataOnly="0" outline="0" axis="axisValues" fieldPosition="0"/>
    </format>
    <format dxfId="59">
      <pivotArea dataOnly="0" labelOnly="1" grandRow="1" outline="0" fieldPosition="0"/>
    </format>
    <format dxfId="58">
      <pivotArea grandRow="1" outline="0" collapsedLevelsAreSubtotals="1" fieldPosition="0"/>
    </format>
    <format dxfId="57">
      <pivotArea type="all" dataOnly="0" outline="0" fieldPosition="0"/>
    </format>
    <format dxfId="56">
      <pivotArea outline="0" collapsedLevelsAreSubtotals="1" fieldPosition="0"/>
    </format>
    <format dxfId="55">
      <pivotArea field="16" type="button" dataOnly="0" labelOnly="1" outline="0" axis="axisRow" fieldPosition="0"/>
    </format>
    <format dxfId="54">
      <pivotArea dataOnly="0" labelOnly="1" fieldPosition="0">
        <references count="1">
          <reference field="16" count="0"/>
        </references>
      </pivotArea>
    </format>
    <format dxfId="53">
      <pivotArea dataOnly="0" labelOnly="1" grandRow="1" outline="0" fieldPosition="0"/>
    </format>
    <format dxfId="52">
      <pivotArea dataOnly="0" labelOnly="1" outline="0" axis="axisValues" fieldPosition="0"/>
    </format>
    <format dxfId="51">
      <pivotArea dataOnly="0" labelOnly="1" fieldPosition="0">
        <references count="1">
          <reference field="16" count="0"/>
        </references>
      </pivotArea>
    </format>
    <format dxfId="50">
      <pivotArea collapsedLevelsAreSubtotals="1" fieldPosition="0">
        <references count="1">
          <reference field="16" count="1">
            <x v="0"/>
          </reference>
        </references>
      </pivotArea>
    </format>
    <format dxfId="49">
      <pivotArea collapsedLevelsAreSubtotals="1" fieldPosition="0">
        <references count="1">
          <reference field="16" count="1">
            <x v="1"/>
          </reference>
        </references>
      </pivotArea>
    </format>
    <format dxfId="48">
      <pivotArea collapsedLevelsAreSubtotals="1" fieldPosition="0">
        <references count="1">
          <reference field="16" count="1">
            <x v="2"/>
          </reference>
        </references>
      </pivotArea>
    </format>
    <format dxfId="47">
      <pivotArea outline="0" fieldPosition="0">
        <references count="1">
          <reference field="4294967294" count="1">
            <x v="0"/>
          </reference>
        </references>
      </pivotArea>
    </format>
  </format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6" count="1" selected="0">
            <x v="0"/>
          </reference>
        </references>
      </pivotArea>
    </chartFormat>
    <chartFormat chart="6" format="10">
      <pivotArea type="data" outline="0" fieldPosition="0">
        <references count="2">
          <reference field="4294967294" count="1" selected="0">
            <x v="0"/>
          </reference>
          <reference field="16" count="1" selected="0">
            <x v="1"/>
          </reference>
        </references>
      </pivotArea>
    </chartFormat>
    <chartFormat chart="6" format="11">
      <pivotArea type="data" outline="0" fieldPosition="0">
        <references count="2">
          <reference field="4294967294" count="1" selected="0">
            <x v="0"/>
          </reference>
          <reference field="16"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6" count="1" selected="0">
            <x v="0"/>
          </reference>
        </references>
      </pivotArea>
    </chartFormat>
    <chartFormat chart="12" format="10">
      <pivotArea type="data" outline="0" fieldPosition="0">
        <references count="2">
          <reference field="4294967294" count="1" selected="0">
            <x v="0"/>
          </reference>
          <reference field="16" count="1" selected="0">
            <x v="1"/>
          </reference>
        </references>
      </pivotArea>
    </chartFormat>
    <chartFormat chart="12" format="11">
      <pivotArea type="data" outline="0" fieldPosition="0">
        <references count="2">
          <reference field="4294967294" count="1" selected="0">
            <x v="0"/>
          </reference>
          <reference field="16" count="1" selected="0">
            <x v="2"/>
          </reference>
        </references>
      </pivotArea>
    </chartFormat>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16" count="1" selected="0">
            <x v="0"/>
          </reference>
        </references>
      </pivotArea>
    </chartFormat>
    <chartFormat chart="19" format="3">
      <pivotArea type="data" outline="0" fieldPosition="0">
        <references count="2">
          <reference field="4294967294" count="1" selected="0">
            <x v="0"/>
          </reference>
          <reference field="16" count="1" selected="0">
            <x v="1"/>
          </reference>
        </references>
      </pivotArea>
    </chartFormat>
    <chartFormat chart="19" format="4">
      <pivotArea type="data" outline="0" fieldPosition="0">
        <references count="2">
          <reference field="4294967294" count="1" selected="0">
            <x v="0"/>
          </reference>
          <reference field="16" count="1" selected="0">
            <x v="2"/>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6" count="1" selected="0">
            <x v="0"/>
          </reference>
        </references>
      </pivotArea>
    </chartFormat>
    <chartFormat chart="20" format="7">
      <pivotArea type="data" outline="0" fieldPosition="0">
        <references count="2">
          <reference field="4294967294" count="1" selected="0">
            <x v="0"/>
          </reference>
          <reference field="16" count="1" selected="0">
            <x v="1"/>
          </reference>
        </references>
      </pivotArea>
    </chartFormat>
    <chartFormat chart="20" format="8">
      <pivotArea type="data" outline="0" fieldPosition="0">
        <references count="2">
          <reference field="4294967294" count="1" selected="0">
            <x v="0"/>
          </reference>
          <reference field="16" count="1" selected="0">
            <x v="2"/>
          </reference>
        </references>
      </pivotArea>
    </chartFormat>
    <chartFormat chart="16" format="1">
      <pivotArea type="data" outline="0" fieldPosition="0">
        <references count="2">
          <reference field="4294967294" count="1" selected="0">
            <x v="0"/>
          </reference>
          <reference field="16" count="1" selected="0">
            <x v="0"/>
          </reference>
        </references>
      </pivotArea>
    </chartFormat>
    <chartFormat chart="16" format="2">
      <pivotArea type="data" outline="0" fieldPosition="0">
        <references count="2">
          <reference field="4294967294" count="1" selected="0">
            <x v="0"/>
          </reference>
          <reference field="16" count="1" selected="0">
            <x v="1"/>
          </reference>
        </references>
      </pivotArea>
    </chartFormat>
    <chartFormat chart="16" format="3">
      <pivotArea type="data" outline="0" fieldPosition="0">
        <references count="2">
          <reference field="4294967294" count="1" selected="0">
            <x v="0"/>
          </reference>
          <reference field="16" count="1" selected="0">
            <x v="2"/>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6" count="1" selected="0">
            <x v="0"/>
          </reference>
        </references>
      </pivotArea>
    </chartFormat>
    <chartFormat chart="28" format="6">
      <pivotArea type="data" outline="0" fieldPosition="0">
        <references count="2">
          <reference field="4294967294" count="1" selected="0">
            <x v="0"/>
          </reference>
          <reference field="16" count="1" selected="0">
            <x v="1"/>
          </reference>
        </references>
      </pivotArea>
    </chartFormat>
    <chartFormat chart="28" format="7">
      <pivotArea type="data" outline="0" fieldPosition="0">
        <references count="2">
          <reference field="4294967294" count="1" selected="0">
            <x v="0"/>
          </reference>
          <reference field="16" count="1" selected="0">
            <x v="2"/>
          </reference>
        </references>
      </pivotArea>
    </chartFormat>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16" count="1" selected="0">
            <x v="0"/>
          </reference>
        </references>
      </pivotArea>
    </chartFormat>
    <chartFormat chart="31" format="2">
      <pivotArea type="data" outline="0" fieldPosition="0">
        <references count="2">
          <reference field="4294967294" count="1" selected="0">
            <x v="0"/>
          </reference>
          <reference field="16" count="1" selected="0">
            <x v="1"/>
          </reference>
        </references>
      </pivotArea>
    </chartFormat>
    <chartFormat chart="31" format="3">
      <pivotArea type="data" outline="0" fieldPosition="0">
        <references count="2">
          <reference field="4294967294" count="1" selected="0">
            <x v="0"/>
          </reference>
          <reference field="16" count="1" selected="0">
            <x v="2"/>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16" count="1" selected="0">
            <x v="0"/>
          </reference>
        </references>
      </pivotArea>
    </chartFormat>
    <chartFormat chart="38" format="10">
      <pivotArea type="data" outline="0" fieldPosition="0">
        <references count="2">
          <reference field="4294967294" count="1" selected="0">
            <x v="0"/>
          </reference>
          <reference field="16" count="1" selected="0">
            <x v="1"/>
          </reference>
        </references>
      </pivotArea>
    </chartFormat>
    <chartFormat chart="38" format="11">
      <pivotArea type="data" outline="0" fieldPosition="0">
        <references count="2">
          <reference field="4294967294" count="1" selected="0">
            <x v="0"/>
          </reference>
          <reference field="16"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275B07-4BF2-422E-9138-99D58F13EC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9">
    <pivotField showAll="0"/>
    <pivotField dataField="1" showAll="0"/>
    <pivotField showAll="0"/>
    <pivotField showAll="0"/>
    <pivotField showAll="0"/>
    <pivotField numFmtId="14" showAll="0"/>
    <pivotField showAll="0">
      <items count="24">
        <item x="18"/>
        <item x="4"/>
        <item x="21"/>
        <item x="17"/>
        <item x="1"/>
        <item x="9"/>
        <item x="2"/>
        <item x="22"/>
        <item x="19"/>
        <item x="7"/>
        <item x="3"/>
        <item x="12"/>
        <item x="5"/>
        <item x="8"/>
        <item x="16"/>
        <item x="20"/>
        <item x="11"/>
        <item x="0"/>
        <item x="13"/>
        <item x="6"/>
        <item x="15"/>
        <item x="10"/>
        <item x="14"/>
        <item t="default"/>
      </items>
    </pivotField>
    <pivotField showAll="0"/>
    <pivotField showAll="0">
      <items count="11">
        <item x="9"/>
        <item x="0"/>
        <item x="2"/>
        <item x="7"/>
        <item x="3"/>
        <item x="8"/>
        <item x="5"/>
        <item x="6"/>
        <item x="1"/>
        <item x="4"/>
        <item t="default"/>
      </items>
    </pivotField>
    <pivotField axis="axisRow" showAll="0">
      <items count="4">
        <item x="0"/>
        <item x="2"/>
        <item x="1"/>
        <item t="default"/>
      </items>
    </pivotField>
    <pivotField showAll="0"/>
    <pivotField showAll="0"/>
    <pivotField showAll="0">
      <items count="4">
        <item x="0"/>
        <item x="1"/>
        <item x="2"/>
        <item t="default"/>
      </items>
    </pivotField>
    <pivotField showAll="0"/>
    <pivotField showAll="0"/>
    <pivotField numFmtId="164" showAll="0"/>
    <pivotField showAll="0"/>
    <pivotField showAll="0"/>
    <pivotField showAll="0"/>
  </pivotFields>
  <rowFields count="1">
    <field x="9"/>
  </rowFields>
  <rowItems count="4">
    <i>
      <x/>
    </i>
    <i>
      <x v="1"/>
    </i>
    <i>
      <x v="2"/>
    </i>
    <i t="grand">
      <x/>
    </i>
  </rowItems>
  <colItems count="1">
    <i/>
  </colItems>
  <dataFields count="1">
    <dataField name="Count of OrderID" fld="1" subtotal="count" baseField="0" baseItem="0"/>
  </dataFields>
  <formats count="25">
    <format dxfId="46">
      <pivotArea dataOnly="0" labelOnly="1" fieldPosition="0">
        <references count="1">
          <reference field="9" count="1">
            <x v="2"/>
          </reference>
        </references>
      </pivotArea>
    </format>
    <format dxfId="45">
      <pivotArea collapsedLevelsAreSubtotals="1" fieldPosition="0">
        <references count="1">
          <reference field="9" count="1">
            <x v="2"/>
          </reference>
        </references>
      </pivotArea>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9" type="button" dataOnly="0" labelOnly="1" outline="0" axis="axisRow" fieldPosition="0"/>
    </format>
    <format dxfId="39">
      <pivotArea dataOnly="0" labelOnly="1" fieldPosition="0">
        <references count="1">
          <reference field="9"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dataOnly="0" labelOnly="1" fieldPosition="0">
        <references count="1">
          <reference field="9" count="0"/>
        </references>
      </pivotArea>
    </format>
    <format dxfId="34">
      <pivotArea grandRow="1" outline="0" collapsedLevelsAreSubtotals="1" fieldPosition="0"/>
    </format>
    <format dxfId="33">
      <pivotArea collapsedLevelsAreSubtotals="1" fieldPosition="0">
        <references count="1">
          <reference field="9" count="0"/>
        </references>
      </pivotArea>
    </format>
    <format dxfId="32">
      <pivotArea dataOnly="0" labelOnly="1" fieldPosition="0">
        <references count="1">
          <reference field="9" count="0"/>
        </references>
      </pivotArea>
    </format>
    <format dxfId="31">
      <pivotArea type="all" dataOnly="0" outline="0" fieldPosition="0"/>
    </format>
    <format dxfId="30">
      <pivotArea outline="0" collapsedLevelsAreSubtotals="1" fieldPosition="0"/>
    </format>
    <format dxfId="29">
      <pivotArea field="9" type="button" dataOnly="0" labelOnly="1" outline="0" axis="axisRow" fieldPosition="0"/>
    </format>
    <format dxfId="28">
      <pivotArea dataOnly="0" labelOnly="1" fieldPosition="0">
        <references count="1">
          <reference field="9" count="0"/>
        </references>
      </pivotArea>
    </format>
    <format dxfId="27">
      <pivotArea dataOnly="0" labelOnly="1" grandRow="1" outline="0" fieldPosition="0"/>
    </format>
    <format dxfId="26">
      <pivotArea dataOnly="0" labelOnly="1" outline="0" axis="axisValues" fieldPosition="0"/>
    </format>
    <format dxfId="25">
      <pivotArea field="9" type="button" dataOnly="0" labelOnly="1" outline="0" axis="axisRow" fieldPosition="0"/>
    </format>
    <format dxfId="24">
      <pivotArea dataOnly="0" outline="0" axis="axisValues" fieldPosition="0"/>
    </format>
    <format dxfId="23">
      <pivotArea dataOnly="0" labelOnly="1" grandRow="1" outline="0" fieldPosition="0"/>
    </format>
    <format dxfId="22">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9" count="1" selected="0">
            <x v="0"/>
          </reference>
        </references>
      </pivotArea>
    </chartFormat>
    <chartFormat chart="8" format="26">
      <pivotArea type="data" outline="0" fieldPosition="0">
        <references count="2">
          <reference field="4294967294" count="1" selected="0">
            <x v="0"/>
          </reference>
          <reference field="9" count="1" selected="0">
            <x v="1"/>
          </reference>
        </references>
      </pivotArea>
    </chartFormat>
    <chartFormat chart="8" format="27">
      <pivotArea type="data" outline="0" fieldPosition="0">
        <references count="2">
          <reference field="4294967294" count="1" selected="0">
            <x v="0"/>
          </reference>
          <reference field="9"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9" count="1" selected="0">
            <x v="0"/>
          </reference>
        </references>
      </pivotArea>
    </chartFormat>
    <chartFormat chart="12" format="10">
      <pivotArea type="data" outline="0" fieldPosition="0">
        <references count="2">
          <reference field="4294967294" count="1" selected="0">
            <x v="0"/>
          </reference>
          <reference field="9" count="1" selected="0">
            <x v="1"/>
          </reference>
        </references>
      </pivotArea>
    </chartFormat>
    <chartFormat chart="12" format="11">
      <pivotArea type="data" outline="0" fieldPosition="0">
        <references count="2">
          <reference field="4294967294" count="1" selected="0">
            <x v="0"/>
          </reference>
          <reference field="9"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794821-43FD-4135-A5A8-D1863FF100A3}"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7" rowHeaderCaption="CATEGORY">
  <location ref="A3:B27" firstHeaderRow="1" firstDataRow="1" firstDataCol="1"/>
  <pivotFields count="19">
    <pivotField showAll="0"/>
    <pivotField showAll="0"/>
    <pivotField showAll="0"/>
    <pivotField showAll="0"/>
    <pivotField showAll="0"/>
    <pivotField numFmtId="14" showAll="0"/>
    <pivotField axis="axisRow" showAll="0" sortType="descending">
      <items count="24">
        <item x="18"/>
        <item x="4"/>
        <item x="21"/>
        <item x="17"/>
        <item x="1"/>
        <item x="9"/>
        <item x="2"/>
        <item x="22"/>
        <item x="19"/>
        <item x="7"/>
        <item x="3"/>
        <item x="12"/>
        <item x="5"/>
        <item x="8"/>
        <item x="16"/>
        <item x="20"/>
        <item x="11"/>
        <item x="0"/>
        <item x="13"/>
        <item x="6"/>
        <item x="15"/>
        <item x="10"/>
        <item x="14"/>
        <item t="default"/>
      </items>
      <autoSortScope>
        <pivotArea dataOnly="0" outline="0" fieldPosition="0">
          <references count="1">
            <reference field="4294967294" count="1" selected="0">
              <x v="0"/>
            </reference>
          </references>
        </pivotArea>
      </autoSortScope>
    </pivotField>
    <pivotField showAll="0"/>
    <pivotField showAll="0">
      <items count="11">
        <item x="9"/>
        <item x="0"/>
        <item x="2"/>
        <item x="7"/>
        <item x="3"/>
        <item x="8"/>
        <item x="5"/>
        <item x="6"/>
        <item x="1"/>
        <item x="4"/>
        <item t="default"/>
      </items>
    </pivotField>
    <pivotField showAll="0"/>
    <pivotField showAll="0"/>
    <pivotField showAll="0"/>
    <pivotField showAll="0">
      <items count="4">
        <item x="0"/>
        <item x="1"/>
        <item x="2"/>
        <item t="default"/>
      </items>
    </pivotField>
    <pivotField showAll="0"/>
    <pivotField showAll="0"/>
    <pivotField dataField="1" numFmtId="164" showAll="0"/>
    <pivotField showAll="0"/>
    <pivotField showAll="0"/>
    <pivotField showAll="0"/>
  </pivotFields>
  <rowFields count="1">
    <field x="6"/>
  </rowFields>
  <rowItems count="24">
    <i>
      <x v="4"/>
    </i>
    <i>
      <x v="6"/>
    </i>
    <i>
      <x v="10"/>
    </i>
    <i>
      <x/>
    </i>
    <i>
      <x v="21"/>
    </i>
    <i>
      <x v="3"/>
    </i>
    <i>
      <x v="17"/>
    </i>
    <i>
      <x v="20"/>
    </i>
    <i>
      <x v="9"/>
    </i>
    <i>
      <x v="5"/>
    </i>
    <i>
      <x v="12"/>
    </i>
    <i>
      <x v="14"/>
    </i>
    <i>
      <x v="16"/>
    </i>
    <i>
      <x v="22"/>
    </i>
    <i>
      <x v="7"/>
    </i>
    <i>
      <x v="1"/>
    </i>
    <i>
      <x v="8"/>
    </i>
    <i>
      <x v="15"/>
    </i>
    <i>
      <x v="19"/>
    </i>
    <i>
      <x v="2"/>
    </i>
    <i>
      <x v="18"/>
    </i>
    <i>
      <x v="13"/>
    </i>
    <i>
      <x v="11"/>
    </i>
    <i t="grand">
      <x/>
    </i>
  </rowItems>
  <colItems count="1">
    <i/>
  </colItems>
  <dataFields count="1">
    <dataField name="Average of SellThroughRate%" fld="15" subtotal="average" baseField="6" baseItem="0" numFmtId="164"/>
  </dataFields>
  <formats count="18">
    <format dxfId="21">
      <pivotArea type="all" dataOnly="0" outline="0" fieldPosition="0"/>
    </format>
    <format dxfId="20">
      <pivotArea outline="0" collapsedLevelsAreSubtotals="1" fieldPosition="0"/>
    </format>
    <format dxfId="19">
      <pivotArea field="6" type="button" dataOnly="0" labelOnly="1" outline="0" axis="axisRow" fieldPosition="0"/>
    </format>
    <format dxfId="18">
      <pivotArea dataOnly="0" labelOnly="1" fieldPosition="0">
        <references count="1">
          <reference field="6" count="0"/>
        </references>
      </pivotArea>
    </format>
    <format dxfId="17">
      <pivotArea dataOnly="0" labelOnly="1" grandRow="1" outline="0" fieldPosition="0"/>
    </format>
    <format dxfId="16">
      <pivotArea dataOnly="0" labelOnly="1" outline="0" axis="axisValues" fieldPosition="0"/>
    </format>
    <format dxfId="15">
      <pivotArea collapsedLevelsAreSubtotals="1" fieldPosition="0">
        <references count="1">
          <reference field="6" count="0"/>
        </references>
      </pivotArea>
    </format>
    <format dxfId="14">
      <pivotArea dataOnly="0" labelOnly="1" fieldPosition="0">
        <references count="1">
          <reference field="6" count="0"/>
        </references>
      </pivotArea>
    </format>
    <format dxfId="13">
      <pivotArea type="all" dataOnly="0" outline="0" fieldPosition="0"/>
    </format>
    <format dxfId="12">
      <pivotArea outline="0" collapsedLevelsAreSubtotals="1" fieldPosition="0"/>
    </format>
    <format dxfId="11">
      <pivotArea field="6" type="button" dataOnly="0" labelOnly="1" outline="0" axis="axisRow" fieldPosition="0"/>
    </format>
    <format dxfId="10">
      <pivotArea dataOnly="0" labelOnly="1" fieldPosition="0">
        <references count="1">
          <reference field="6" count="0"/>
        </references>
      </pivotArea>
    </format>
    <format dxfId="9">
      <pivotArea dataOnly="0" labelOnly="1" grandRow="1" outline="0" fieldPosition="0"/>
    </format>
    <format dxfId="8">
      <pivotArea dataOnly="0" labelOnly="1" outline="0" axis="axisValues" fieldPosition="0"/>
    </format>
    <format dxfId="7">
      <pivotArea dataOnly="0" labelOnly="1" outline="0" axis="axisValues" fieldPosition="0"/>
    </format>
    <format dxfId="6">
      <pivotArea field="6" type="button" dataOnly="0" labelOnly="1" outline="0" axis="axisRow" fieldPosition="0"/>
    </format>
    <format dxfId="5">
      <pivotArea dataOnly="0" labelOnly="1" grandRow="1" outline="0" fieldPosition="0"/>
    </format>
    <format dxfId="4">
      <pivotArea grandRow="1" outline="0" collapsedLevelsAreSubtotals="1" fieldPosition="0"/>
    </format>
  </formats>
  <chartFormats count="5">
    <chartFormat chart="14" format="3"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DAB724-5800-4CE8-8861-D2070FDE6733}" sourceName="Gender">
  <pivotTables>
    <pivotTable tabId="8" name="PivotTable2"/>
  </pivotTables>
  <data>
    <tabular pivotCacheId="12093937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93DF049F-2E19-4A63-ACB6-1711E43512B3}" sourceName="City">
  <pivotTables>
    <pivotTable tabId="15" name="PivotTable3"/>
    <pivotTable tabId="10" name="PivotTable2"/>
    <pivotTable tabId="9" name="PivotTable3"/>
    <pivotTable tabId="3" name="PivotTable1"/>
    <pivotTable tabId="6" name="PivotTable3"/>
    <pivotTable tabId="18" name="PivotTable2"/>
    <pivotTable tabId="8" name="PivotTable2"/>
  </pivotTables>
  <data>
    <tabular pivotCacheId="1209393707">
      <items count="10">
        <i x="9" s="1"/>
        <i x="0" s="1"/>
        <i x="2" s="1"/>
        <i x="7" s="1"/>
        <i x="3" s="1"/>
        <i x="8" s="1"/>
        <i x="5" s="1"/>
        <i x="6"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78BB3010-ECEB-4DEC-9709-B319F41B3F92}" sourceName="Category">
  <pivotTables>
    <pivotTable tabId="15" name="PivotTable3"/>
    <pivotTable tabId="10" name="PivotTable2"/>
    <pivotTable tabId="9" name="PivotTable3"/>
    <pivotTable tabId="3" name="PivotTable1"/>
    <pivotTable tabId="6" name="PivotTable3"/>
    <pivotTable tabId="18" name="PivotTable2"/>
    <pivotTable tabId="8" name="PivotTable2"/>
  </pivotTables>
  <data>
    <tabular pivotCacheId="1209393707">
      <items count="23">
        <i x="18" s="1"/>
        <i x="4" s="1"/>
        <i x="21" s="1"/>
        <i x="17" s="1"/>
        <i x="1" s="1"/>
        <i x="9" s="1"/>
        <i x="2" s="1"/>
        <i x="22" s="1"/>
        <i x="19" s="1"/>
        <i x="7" s="1"/>
        <i x="3" s="1"/>
        <i x="12" s="1"/>
        <i x="5" s="1"/>
        <i x="8" s="1"/>
        <i x="16" s="1"/>
        <i x="20" s="1"/>
        <i x="11" s="1"/>
        <i x="0" s="1"/>
        <i x="13" s="1"/>
        <i x="6" s="1"/>
        <i x="15" s="1"/>
        <i x="10"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D8945D2F-2E5A-4470-842D-E7B91BAD8135}" sourceName="Month">
  <data>
    <tabular pivotCacheId="120939370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AC0D40F-A43E-49FF-92AD-48A780D90A97}" sourceName="Gender">
  <pivotTables>
    <pivotTable tabId="3" name="PivotTable1"/>
  </pivotTables>
  <data>
    <tabular pivotCacheId="1209393707">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E687CC-D374-4494-AFC7-523B41B6ABC6}" sourceName="Month">
  <pivotTables>
    <pivotTable tabId="3" name="PivotTable1"/>
    <pivotTable tabId="10" name="PivotTable2"/>
    <pivotTable tabId="15" name="PivotTable3"/>
    <pivotTable tabId="9" name="PivotTable3"/>
    <pivotTable tabId="18" name="PivotTable2"/>
    <pivotTable tabId="8" name="PivotTable2"/>
    <pivotTable tabId="6" name="PivotTable3"/>
  </pivotTables>
  <data>
    <tabular pivotCacheId="120939370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loth category" xr10:uid="{35A1F491-F79F-4B3C-92B4-C60EE7395589}" cache="Slicer_Category2" caption="Cloth Category" columnCount="4" style="SlicerStyleDark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ATEGORY" xr10:uid="{03EA8165-7C3A-405D-BA46-3EEB43FD6553}" cache="Slicer_Category2" caption=" CATEGORY" columnCount="4" style="SlicerStyleDark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A45F8F6-5BC0-4B74-9247-F3FFF929CFED}" cache="Slicer_City2" caption=" CITY" style="SlicerStyleDark2" rowHeight="247650"/>
  <slicer name="Month 1" xr10:uid="{1AAC4509-5687-4180-9E83-7FE744B95C18}" cache="Slicer_Month" caption="Month" style="SlicerStyleDark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ITY" xr10:uid="{8275F770-C1C3-4471-9ABE-8461A3725DF4}" cache="Slicer_City2" caption=" CITY" style="SlicerStyleDark2" rowHeight="247650"/>
  <slicer name=" MONTH" xr10:uid="{F0894499-50A7-4843-B177-054393FF3FAC}" cache="Slicer_Month1" caption=" MONTH" style="SlicerStyleDark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GENDER" xr10:uid="{E2C831E9-AF31-44AE-9D75-9E6FC2FC8677}" cache="Slicer_Gender" caption=" GENDER" style="SlicerStyleDark2" rowHeight="247650"/>
  <slicer name="City 2" xr10:uid="{E909DD37-9FCE-4D1C-B143-995FBF2DE878}" cache="Slicer_City2" caption="City" style="SlicerStyleDark2"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ITY STATUS" xr10:uid="{D291C075-940F-4430-80F8-506B36C4924C}" cache="Slicer_City2" caption=" CITY STATUS" style="SlicerStyleDark2"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ITY WISE" xr10:uid="{858052E6-EC4E-49C7-9743-91BD10F4797A}" cache="Slicer_City2" caption=" CITY WISE" style="SlicerStyleDark2"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4E3C530-ECBE-4AD3-B9E6-271DAD070F7C}" cache="Slicer_City2" caption="City" style="SlicerStyleOther1" rowHeight="247650"/>
  <slicer name="Category" xr10:uid="{363752C6-17B3-4574-87A5-7CB280E6CF39}" cache="Slicer_Category2" caption="Category" style="SlicerStyleOther1" rowHeight="247650"/>
  <slicer name="Gender" xr10:uid="{52562D9C-2F53-4CD2-A090-3F8C15C7BFEA}" cache="Slicer_Gender1" caption="Gender" style="SlicerStyleOther1" rowHeight="247650"/>
  <slicer name="Month" xr10:uid="{785A57D9-A13C-4CC9-9457-FE4CD1B139EC}" cache="Slicer_Month" caption="Month"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1.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2.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344F-F0E8-4D7A-AF4C-965552D86A67}">
  <sheetPr>
    <tabColor rgb="FFFFC000"/>
  </sheetPr>
  <dimension ref="A1:X22"/>
  <sheetViews>
    <sheetView showGridLines="0" zoomScaleNormal="100" workbookViewId="0">
      <selection activeCell="X28" sqref="X28"/>
    </sheetView>
  </sheetViews>
  <sheetFormatPr defaultRowHeight="14.4" x14ac:dyDescent="0.3"/>
  <cols>
    <col min="1" max="1" width="8.88671875" style="25"/>
    <col min="2" max="2" width="8.88671875" style="25" customWidth="1"/>
    <col min="3" max="3" width="3.88671875" style="25" customWidth="1"/>
    <col min="4" max="4" width="8" style="25" customWidth="1"/>
    <col min="5" max="5" width="10.109375" style="25" customWidth="1"/>
    <col min="6" max="12" width="8.88671875" style="25"/>
    <col min="13" max="13" width="19.33203125" style="25" customWidth="1"/>
    <col min="14" max="14" width="8.88671875" style="25"/>
    <col min="15" max="15" width="8.88671875" style="25" customWidth="1"/>
    <col min="16" max="18" width="8.88671875" style="25"/>
    <col min="19" max="19" width="8.33203125" style="25" customWidth="1"/>
    <col min="20" max="23" width="8.88671875" style="25" hidden="1" customWidth="1"/>
    <col min="24" max="24" width="28.77734375" style="25" customWidth="1"/>
    <col min="25" max="25" width="6.5546875" style="25" customWidth="1"/>
    <col min="26" max="16384" width="8.88671875" style="25"/>
  </cols>
  <sheetData>
    <row r="1" spans="1:24" ht="9" customHeight="1" thickBot="1" x14ac:dyDescent="0.35">
      <c r="A1" s="32"/>
      <c r="B1" s="27"/>
      <c r="C1" s="27"/>
      <c r="D1" s="27"/>
      <c r="E1" s="27"/>
      <c r="F1" s="27"/>
      <c r="G1" s="27"/>
      <c r="H1" s="27"/>
      <c r="I1" s="27"/>
      <c r="J1" s="27"/>
      <c r="K1" s="27"/>
      <c r="L1" s="27"/>
      <c r="M1" s="27"/>
      <c r="N1" s="27"/>
      <c r="O1" s="27"/>
      <c r="P1" s="27"/>
      <c r="Q1" s="27"/>
      <c r="R1" s="27"/>
      <c r="S1" s="27"/>
      <c r="T1" s="27"/>
      <c r="U1" s="27"/>
      <c r="X1" s="33"/>
    </row>
    <row r="2" spans="1:24" s="26" customFormat="1" ht="24" customHeight="1" x14ac:dyDescent="0.65">
      <c r="A2" s="29"/>
      <c r="B2" s="30"/>
      <c r="C2" s="61" t="s">
        <v>583</v>
      </c>
      <c r="D2" s="38"/>
      <c r="E2" s="38"/>
      <c r="F2" s="38"/>
      <c r="G2" s="38"/>
      <c r="H2" s="39"/>
      <c r="I2" s="30"/>
      <c r="J2" s="30"/>
      <c r="K2" s="31"/>
      <c r="L2" s="31"/>
      <c r="M2" s="31"/>
      <c r="N2" s="26" t="s">
        <v>564</v>
      </c>
    </row>
    <row r="3" spans="1:24" x14ac:dyDescent="0.3">
      <c r="A3" s="32"/>
      <c r="B3" s="27"/>
      <c r="C3" s="27"/>
      <c r="D3" s="27"/>
      <c r="E3" s="27"/>
      <c r="F3" s="27"/>
      <c r="G3" s="27"/>
      <c r="H3" s="27"/>
      <c r="I3" s="27"/>
      <c r="J3" s="27"/>
      <c r="K3" s="27"/>
      <c r="L3" s="27"/>
      <c r="M3" s="27"/>
      <c r="N3" s="27"/>
      <c r="O3" s="27"/>
      <c r="P3" s="27"/>
      <c r="Q3" s="27"/>
      <c r="R3" s="27"/>
      <c r="S3" s="27"/>
      <c r="T3" s="27"/>
      <c r="U3" s="27"/>
      <c r="X3" s="33"/>
    </row>
    <row r="4" spans="1:24" s="28" customFormat="1" ht="15" thickBot="1" x14ac:dyDescent="0.35">
      <c r="A4" s="34"/>
      <c r="B4" s="35"/>
      <c r="C4" s="35"/>
      <c r="D4" s="35"/>
      <c r="E4" s="35"/>
      <c r="F4" s="35"/>
      <c r="G4" s="35"/>
      <c r="H4" s="35"/>
      <c r="I4" s="35"/>
      <c r="J4" s="35"/>
      <c r="K4" s="35"/>
      <c r="L4" s="35"/>
      <c r="M4" s="35"/>
      <c r="N4" s="35"/>
      <c r="O4" s="35"/>
      <c r="P4" s="35"/>
      <c r="Q4" s="35"/>
      <c r="R4" s="35"/>
      <c r="S4" s="35"/>
      <c r="T4" s="35"/>
      <c r="U4" s="35"/>
      <c r="V4" s="36"/>
      <c r="W4" s="36"/>
      <c r="X4" s="37"/>
    </row>
    <row r="6" spans="1:24" ht="21.6" x14ac:dyDescent="0.45">
      <c r="C6" s="45" t="s">
        <v>569</v>
      </c>
      <c r="D6" s="46"/>
      <c r="E6" s="46"/>
      <c r="F6" s="46"/>
      <c r="G6" s="46"/>
      <c r="H6" s="46"/>
    </row>
    <row r="7" spans="1:24" ht="98.4" x14ac:dyDescent="2.15">
      <c r="B7" s="40" t="s">
        <v>566</v>
      </c>
      <c r="C7" s="41"/>
      <c r="D7" s="42"/>
    </row>
    <row r="8" spans="1:24" ht="81" customHeight="1" x14ac:dyDescent="2.15">
      <c r="B8" s="43" t="s">
        <v>567</v>
      </c>
      <c r="C8" s="42"/>
      <c r="D8" s="42"/>
    </row>
    <row r="12" spans="1:24" ht="12.6" customHeight="1" x14ac:dyDescent="0.3"/>
    <row r="13" spans="1:24" ht="3" hidden="1" customHeight="1" thickBot="1" x14ac:dyDescent="0.35"/>
    <row r="14" spans="1:24" ht="1.8" customHeight="1" x14ac:dyDescent="0.3"/>
    <row r="15" spans="1:24" ht="70.2" customHeight="1" thickBot="1" x14ac:dyDescent="0.7">
      <c r="B15" s="44" t="s">
        <v>568</v>
      </c>
      <c r="M15" s="25" t="s">
        <v>564</v>
      </c>
    </row>
    <row r="16" spans="1:24" s="26" customFormat="1" ht="33.6" x14ac:dyDescent="0.65">
      <c r="A16" s="29"/>
      <c r="B16" s="47" t="s">
        <v>570</v>
      </c>
      <c r="C16" s="38"/>
      <c r="D16" s="38"/>
      <c r="E16" s="38"/>
      <c r="F16" s="38"/>
      <c r="G16" s="47" t="s">
        <v>571</v>
      </c>
      <c r="H16" s="38"/>
      <c r="I16" s="48"/>
      <c r="J16" s="48"/>
      <c r="K16" s="31"/>
      <c r="L16" s="51" t="s">
        <v>574</v>
      </c>
      <c r="M16" s="49" t="s">
        <v>575</v>
      </c>
      <c r="N16" s="50"/>
      <c r="P16" s="49" t="s">
        <v>572</v>
      </c>
      <c r="Q16" s="50"/>
      <c r="R16" s="50"/>
      <c r="X16" s="49" t="s">
        <v>573</v>
      </c>
    </row>
    <row r="17" spans="1:24" s="28" customFormat="1" ht="15" thickBot="1" x14ac:dyDescent="0.35">
      <c r="A17" s="34"/>
      <c r="B17" s="35"/>
      <c r="C17" s="35"/>
      <c r="D17" s="25"/>
      <c r="E17" s="25"/>
      <c r="F17" s="25"/>
      <c r="G17" s="25"/>
      <c r="H17" s="25"/>
      <c r="I17" s="25"/>
      <c r="J17" s="25"/>
      <c r="K17" s="25"/>
      <c r="L17" s="25"/>
      <c r="M17" s="35"/>
      <c r="N17" s="35"/>
      <c r="O17" s="35"/>
      <c r="P17" s="35"/>
      <c r="Q17" s="35"/>
      <c r="R17" s="35"/>
      <c r="S17" s="35"/>
      <c r="T17" s="35"/>
      <c r="U17" s="35"/>
      <c r="V17" s="36"/>
      <c r="W17" s="36"/>
      <c r="X17" s="25"/>
    </row>
    <row r="19" spans="1:24" ht="10.8" customHeight="1" x14ac:dyDescent="0.3"/>
    <row r="20" spans="1:24" hidden="1" x14ac:dyDescent="0.3"/>
    <row r="21" spans="1:24" hidden="1" x14ac:dyDescent="0.3"/>
    <row r="22" spans="1:24" hidden="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5FCEB-9BC4-4FBF-A2CE-DDCA63040B61}">
  <sheetPr>
    <tabColor theme="3" tint="0.249977111117893"/>
  </sheetPr>
  <dimension ref="A3:P17"/>
  <sheetViews>
    <sheetView showGridLines="0" workbookViewId="0">
      <selection activeCell="V30" sqref="V30"/>
    </sheetView>
  </sheetViews>
  <sheetFormatPr defaultRowHeight="14.4" x14ac:dyDescent="0.3"/>
  <cols>
    <col min="1" max="1" width="6.6640625" style="25" customWidth="1"/>
    <col min="2" max="2" width="8.88671875" style="25"/>
    <col min="3" max="3" width="5.77734375" style="25" customWidth="1"/>
    <col min="4" max="4" width="9.77734375" style="25" customWidth="1"/>
    <col min="5" max="16384" width="8.88671875" style="25"/>
  </cols>
  <sheetData>
    <row r="3" spans="1:16" ht="40.200000000000003" customHeight="1" x14ac:dyDescent="0.45">
      <c r="C3" s="45" t="s">
        <v>565</v>
      </c>
      <c r="D3" s="52"/>
      <c r="E3" s="52"/>
      <c r="F3" s="52"/>
      <c r="G3" s="52"/>
    </row>
    <row r="4" spans="1:16" ht="98.4" x14ac:dyDescent="2.15">
      <c r="B4" s="57" t="s">
        <v>577</v>
      </c>
      <c r="C4" s="42"/>
      <c r="D4" s="41"/>
      <c r="E4" s="56"/>
    </row>
    <row r="5" spans="1:16" ht="97.8" x14ac:dyDescent="2.15">
      <c r="A5" s="53"/>
      <c r="B5" s="55" t="s">
        <v>576</v>
      </c>
      <c r="C5" s="43"/>
      <c r="D5" s="43"/>
      <c r="E5" s="54"/>
      <c r="F5" s="54"/>
      <c r="G5" s="54"/>
      <c r="H5" s="54"/>
    </row>
    <row r="8" spans="1:16" ht="19.2" x14ac:dyDescent="0.45">
      <c r="C8" s="58" t="s">
        <v>578</v>
      </c>
      <c r="D8" s="52"/>
      <c r="O8" s="58" t="s">
        <v>584</v>
      </c>
      <c r="P8" s="52"/>
    </row>
    <row r="9" spans="1:16" x14ac:dyDescent="0.3">
      <c r="O9" s="25" t="s">
        <v>603</v>
      </c>
    </row>
    <row r="10" spans="1:16" ht="19.2" x14ac:dyDescent="0.45">
      <c r="C10" s="58" t="s">
        <v>579</v>
      </c>
      <c r="D10" s="52"/>
      <c r="O10" s="58" t="s">
        <v>585</v>
      </c>
      <c r="P10" s="52"/>
    </row>
    <row r="11" spans="1:16" ht="19.2" x14ac:dyDescent="0.45">
      <c r="O11" s="58"/>
      <c r="P11" s="52"/>
    </row>
    <row r="12" spans="1:16" ht="19.2" x14ac:dyDescent="0.45">
      <c r="C12" s="58" t="s">
        <v>580</v>
      </c>
      <c r="O12" s="58" t="s">
        <v>586</v>
      </c>
      <c r="P12" s="52"/>
    </row>
    <row r="14" spans="1:16" ht="19.2" x14ac:dyDescent="0.45">
      <c r="C14" s="58" t="s">
        <v>581</v>
      </c>
      <c r="O14" s="58" t="s">
        <v>602</v>
      </c>
      <c r="P14" s="52"/>
    </row>
    <row r="15" spans="1:16" ht="6" customHeight="1" x14ac:dyDescent="0.3"/>
    <row r="16" spans="1:16" ht="6" customHeight="1" x14ac:dyDescent="0.3"/>
    <row r="17" spans="3:16" ht="19.2" x14ac:dyDescent="0.45">
      <c r="C17" s="58" t="s">
        <v>582</v>
      </c>
      <c r="O17" s="58" t="s">
        <v>587</v>
      </c>
      <c r="P17" s="5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D2C-BDF7-457E-9771-80D9FE2968BB}">
  <sheetPr>
    <tabColor theme="3" tint="9.9978637043366805E-2"/>
  </sheetPr>
  <dimension ref="B3:P11"/>
  <sheetViews>
    <sheetView showGridLines="0" workbookViewId="0">
      <selection activeCell="L3" sqref="L3"/>
    </sheetView>
  </sheetViews>
  <sheetFormatPr defaultRowHeight="14.4" x14ac:dyDescent="0.3"/>
  <cols>
    <col min="1" max="5" width="8.88671875" style="25"/>
    <col min="6" max="6" width="3.88671875" style="25" customWidth="1"/>
    <col min="7" max="7" width="11.77734375" style="25" customWidth="1"/>
    <col min="8" max="8" width="12.33203125" style="25" customWidth="1"/>
    <col min="9" max="9" width="4.77734375" style="25" customWidth="1"/>
    <col min="10" max="16384" width="8.88671875" style="25"/>
  </cols>
  <sheetData>
    <row r="3" spans="2:16" x14ac:dyDescent="0.3">
      <c r="G3" s="93" t="s">
        <v>564</v>
      </c>
      <c r="H3" s="94" t="s">
        <v>564</v>
      </c>
      <c r="I3" s="94" t="s">
        <v>564</v>
      </c>
      <c r="J3" s="107" t="s">
        <v>564</v>
      </c>
    </row>
    <row r="5" spans="2:16" ht="97.8" x14ac:dyDescent="2.15">
      <c r="B5" s="88" t="s">
        <v>595</v>
      </c>
      <c r="C5" s="87"/>
      <c r="D5" s="87"/>
      <c r="E5" s="87"/>
    </row>
    <row r="7" spans="2:16" ht="97.8" x14ac:dyDescent="2.15">
      <c r="B7" s="43" t="s">
        <v>596</v>
      </c>
      <c r="C7" s="54"/>
      <c r="D7" s="54"/>
      <c r="E7" s="54"/>
      <c r="F7" s="54"/>
    </row>
    <row r="8" spans="2:16" x14ac:dyDescent="0.3">
      <c r="B8" s="89" t="s">
        <v>597</v>
      </c>
    </row>
    <row r="9" spans="2:16" ht="22.8" customHeight="1" x14ac:dyDescent="0.3">
      <c r="B9" s="91" t="s">
        <v>598</v>
      </c>
    </row>
    <row r="10" spans="2:16" ht="15.6" x14ac:dyDescent="0.3">
      <c r="I10" s="25" t="s">
        <v>564</v>
      </c>
      <c r="J10" s="92" t="s">
        <v>599</v>
      </c>
    </row>
    <row r="11" spans="2:16" x14ac:dyDescent="0.3">
      <c r="B11" s="90" t="s">
        <v>564</v>
      </c>
      <c r="H11" s="25" t="s">
        <v>564</v>
      </c>
      <c r="P11" s="25" t="s">
        <v>564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1E9F1-6D04-4F67-AA05-3C02907B8968}">
  <sheetPr>
    <tabColor rgb="FF002060"/>
  </sheetPr>
  <dimension ref="A1"/>
  <sheetViews>
    <sheetView showGridLines="0" workbookViewId="0">
      <selection activeCell="U48" sqref="U48"/>
    </sheetView>
  </sheetViews>
  <sheetFormatPr defaultRowHeight="14.4" x14ac:dyDescent="0.3"/>
  <cols>
    <col min="1" max="16384" width="8.88671875" style="9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9722-947B-4F7F-BB1E-C55EF3C4A5AB}">
  <sheetPr>
    <tabColor theme="3" tint="0.249977111117893"/>
  </sheetPr>
  <dimension ref="A1:P140"/>
  <sheetViews>
    <sheetView topLeftCell="A109" workbookViewId="0">
      <selection activeCell="R15" sqref="R15"/>
    </sheetView>
  </sheetViews>
  <sheetFormatPr defaultRowHeight="14.4" x14ac:dyDescent="0.3"/>
  <cols>
    <col min="6" max="6" width="6.5546875" customWidth="1"/>
    <col min="9" max="9" width="6.6640625" customWidth="1"/>
  </cols>
  <sheetData>
    <row r="1" spans="1:16" x14ac:dyDescent="0.3">
      <c r="H1" s="1" t="s">
        <v>565</v>
      </c>
      <c r="I1" s="1"/>
      <c r="J1" s="1"/>
      <c r="K1" s="1" t="s">
        <v>670</v>
      </c>
      <c r="L1" s="1" t="s">
        <v>557</v>
      </c>
      <c r="M1" s="1" t="s">
        <v>558</v>
      </c>
      <c r="N1" s="1"/>
    </row>
    <row r="2" spans="1:16" x14ac:dyDescent="0.3">
      <c r="A2" t="s">
        <v>0</v>
      </c>
      <c r="B2" t="s">
        <v>662</v>
      </c>
      <c r="C2" t="s">
        <v>663</v>
      </c>
      <c r="D2" t="s">
        <v>1</v>
      </c>
      <c r="E2" t="s">
        <v>604</v>
      </c>
      <c r="F2" t="s">
        <v>2</v>
      </c>
      <c r="G2" t="s">
        <v>3</v>
      </c>
      <c r="H2" t="s">
        <v>553</v>
      </c>
      <c r="I2" t="s">
        <v>554</v>
      </c>
      <c r="J2" t="s">
        <v>605</v>
      </c>
      <c r="K2" t="s">
        <v>4</v>
      </c>
      <c r="L2" t="s">
        <v>664</v>
      </c>
      <c r="M2" t="s">
        <v>175</v>
      </c>
      <c r="N2" t="s">
        <v>606</v>
      </c>
      <c r="O2" t="s">
        <v>665</v>
      </c>
      <c r="P2" t="s">
        <v>178</v>
      </c>
    </row>
    <row r="3" spans="1:16" x14ac:dyDescent="0.3">
      <c r="A3">
        <v>1</v>
      </c>
      <c r="B3" t="s">
        <v>5</v>
      </c>
      <c r="C3" t="s">
        <v>6</v>
      </c>
      <c r="D3" t="s">
        <v>7</v>
      </c>
      <c r="E3" t="s">
        <v>607</v>
      </c>
      <c r="F3" s="4">
        <v>46113</v>
      </c>
      <c r="G3" t="s">
        <v>477</v>
      </c>
      <c r="H3" t="s">
        <v>179</v>
      </c>
      <c r="I3" t="s">
        <v>180</v>
      </c>
      <c r="J3" t="s">
        <v>181</v>
      </c>
      <c r="K3">
        <v>3</v>
      </c>
      <c r="L3">
        <v>3</v>
      </c>
      <c r="M3">
        <v>2397</v>
      </c>
      <c r="N3" t="s">
        <v>8</v>
      </c>
      <c r="O3">
        <v>4.5</v>
      </c>
      <c r="P3" t="s">
        <v>9</v>
      </c>
    </row>
    <row r="4" spans="1:16" x14ac:dyDescent="0.3">
      <c r="A4">
        <v>2</v>
      </c>
      <c r="B4" t="s">
        <v>10</v>
      </c>
      <c r="C4" t="s">
        <v>11</v>
      </c>
      <c r="D4" t="s">
        <v>12</v>
      </c>
      <c r="E4" t="s">
        <v>13</v>
      </c>
      <c r="F4" s="4">
        <v>46113</v>
      </c>
      <c r="G4" t="s">
        <v>666</v>
      </c>
      <c r="H4" t="s">
        <v>182</v>
      </c>
      <c r="I4" t="s">
        <v>183</v>
      </c>
      <c r="J4" t="s">
        <v>181</v>
      </c>
      <c r="K4">
        <v>2</v>
      </c>
      <c r="L4">
        <v>2</v>
      </c>
      <c r="M4">
        <v>2598</v>
      </c>
      <c r="N4" t="s">
        <v>184</v>
      </c>
      <c r="O4">
        <v>4.7</v>
      </c>
      <c r="P4" t="s">
        <v>9</v>
      </c>
    </row>
    <row r="5" spans="1:16" x14ac:dyDescent="0.3">
      <c r="A5">
        <v>3</v>
      </c>
      <c r="B5" t="s">
        <v>15</v>
      </c>
      <c r="C5" t="s">
        <v>16</v>
      </c>
      <c r="D5" t="s">
        <v>7</v>
      </c>
      <c r="E5" t="s">
        <v>17</v>
      </c>
      <c r="F5" s="4">
        <v>46114</v>
      </c>
      <c r="G5" t="s">
        <v>667</v>
      </c>
      <c r="H5" t="s">
        <v>185</v>
      </c>
      <c r="I5" t="s">
        <v>186</v>
      </c>
      <c r="J5" t="s">
        <v>187</v>
      </c>
      <c r="K5">
        <v>1</v>
      </c>
      <c r="L5">
        <v>1</v>
      </c>
      <c r="M5">
        <v>2499</v>
      </c>
      <c r="N5" t="s">
        <v>478</v>
      </c>
      <c r="O5">
        <v>4.2</v>
      </c>
      <c r="P5" t="s">
        <v>9</v>
      </c>
    </row>
    <row r="6" spans="1:16" x14ac:dyDescent="0.3">
      <c r="A6">
        <v>4</v>
      </c>
      <c r="B6" t="s">
        <v>19</v>
      </c>
      <c r="C6" t="s">
        <v>20</v>
      </c>
      <c r="D6" t="s">
        <v>12</v>
      </c>
      <c r="E6" t="s">
        <v>21</v>
      </c>
      <c r="F6" s="4">
        <v>46114</v>
      </c>
      <c r="G6" t="s">
        <v>668</v>
      </c>
      <c r="H6" t="s">
        <v>182</v>
      </c>
      <c r="I6" t="s">
        <v>189</v>
      </c>
      <c r="J6" t="s">
        <v>181</v>
      </c>
      <c r="K6">
        <v>4</v>
      </c>
      <c r="L6">
        <v>4</v>
      </c>
      <c r="M6">
        <v>5996</v>
      </c>
      <c r="N6" t="s">
        <v>8</v>
      </c>
      <c r="O6">
        <v>4.8</v>
      </c>
      <c r="P6" t="s">
        <v>9</v>
      </c>
    </row>
    <row r="7" spans="1:16" x14ac:dyDescent="0.3">
      <c r="A7">
        <v>5</v>
      </c>
      <c r="B7" t="s">
        <v>23</v>
      </c>
      <c r="C7" t="s">
        <v>24</v>
      </c>
      <c r="D7" t="s">
        <v>7</v>
      </c>
      <c r="E7" t="s">
        <v>25</v>
      </c>
      <c r="F7" s="4">
        <v>46115</v>
      </c>
      <c r="G7" t="s">
        <v>479</v>
      </c>
      <c r="H7" t="s">
        <v>179</v>
      </c>
      <c r="I7" t="s">
        <v>190</v>
      </c>
      <c r="J7" t="s">
        <v>191</v>
      </c>
      <c r="K7">
        <v>2</v>
      </c>
      <c r="L7">
        <v>2</v>
      </c>
      <c r="M7">
        <v>3598</v>
      </c>
      <c r="N7" t="s">
        <v>192</v>
      </c>
      <c r="O7">
        <v>4</v>
      </c>
      <c r="P7" t="s">
        <v>9</v>
      </c>
    </row>
    <row r="8" spans="1:16" x14ac:dyDescent="0.3">
      <c r="A8">
        <v>6</v>
      </c>
      <c r="B8" t="s">
        <v>26</v>
      </c>
      <c r="C8" t="s">
        <v>27</v>
      </c>
      <c r="D8" t="s">
        <v>12</v>
      </c>
      <c r="E8" t="s">
        <v>480</v>
      </c>
      <c r="F8" s="4">
        <v>46115</v>
      </c>
      <c r="G8" t="s">
        <v>28</v>
      </c>
      <c r="H8" t="s">
        <v>185</v>
      </c>
      <c r="I8" t="s">
        <v>193</v>
      </c>
      <c r="J8" t="s">
        <v>181</v>
      </c>
      <c r="K8">
        <v>5</v>
      </c>
      <c r="L8">
        <v>5</v>
      </c>
      <c r="M8">
        <v>9995</v>
      </c>
      <c r="N8" t="s">
        <v>184</v>
      </c>
      <c r="O8">
        <v>4.9000000000000004</v>
      </c>
      <c r="P8" t="s">
        <v>9</v>
      </c>
    </row>
    <row r="9" spans="1:16" x14ac:dyDescent="0.3">
      <c r="A9">
        <v>7</v>
      </c>
      <c r="B9" t="s">
        <v>29</v>
      </c>
      <c r="C9" t="s">
        <v>30</v>
      </c>
      <c r="D9" t="s">
        <v>7</v>
      </c>
      <c r="E9" t="s">
        <v>608</v>
      </c>
      <c r="F9" s="4">
        <v>46116</v>
      </c>
      <c r="G9" t="s">
        <v>481</v>
      </c>
      <c r="H9" t="s">
        <v>182</v>
      </c>
      <c r="I9" t="s">
        <v>194</v>
      </c>
      <c r="J9" t="s">
        <v>181</v>
      </c>
      <c r="K9">
        <v>3</v>
      </c>
      <c r="L9">
        <v>3</v>
      </c>
      <c r="M9">
        <v>2997</v>
      </c>
      <c r="N9" t="s">
        <v>8</v>
      </c>
      <c r="O9">
        <v>4.3</v>
      </c>
      <c r="P9" t="s">
        <v>9</v>
      </c>
    </row>
    <row r="10" spans="1:16" x14ac:dyDescent="0.3">
      <c r="A10">
        <v>8</v>
      </c>
      <c r="B10" t="s">
        <v>31</v>
      </c>
      <c r="C10" t="s">
        <v>32</v>
      </c>
      <c r="D10" t="s">
        <v>12</v>
      </c>
      <c r="E10" t="s">
        <v>609</v>
      </c>
      <c r="F10" s="4">
        <v>46116</v>
      </c>
      <c r="G10" t="s">
        <v>482</v>
      </c>
      <c r="H10" t="s">
        <v>179</v>
      </c>
      <c r="I10" t="s">
        <v>180</v>
      </c>
      <c r="J10" t="s">
        <v>187</v>
      </c>
      <c r="K10">
        <v>1</v>
      </c>
      <c r="L10">
        <v>1</v>
      </c>
      <c r="M10">
        <v>3499</v>
      </c>
      <c r="N10" t="s">
        <v>478</v>
      </c>
      <c r="O10">
        <v>4.5999999999999996</v>
      </c>
      <c r="P10" t="s">
        <v>9</v>
      </c>
    </row>
    <row r="11" spans="1:16" x14ac:dyDescent="0.3">
      <c r="A11">
        <v>9</v>
      </c>
      <c r="B11" t="s">
        <v>33</v>
      </c>
      <c r="C11" t="s">
        <v>34</v>
      </c>
      <c r="D11" t="s">
        <v>7</v>
      </c>
      <c r="E11" t="s">
        <v>610</v>
      </c>
      <c r="F11" s="4">
        <v>46117</v>
      </c>
      <c r="G11" t="s">
        <v>35</v>
      </c>
      <c r="H11" t="s">
        <v>185</v>
      </c>
      <c r="I11" t="s">
        <v>186</v>
      </c>
      <c r="J11" t="s">
        <v>181</v>
      </c>
      <c r="K11">
        <v>2</v>
      </c>
      <c r="L11">
        <v>2</v>
      </c>
      <c r="M11">
        <v>3798</v>
      </c>
      <c r="N11" t="s">
        <v>184</v>
      </c>
      <c r="O11">
        <v>4.0999999999999996</v>
      </c>
      <c r="P11" t="s">
        <v>9</v>
      </c>
    </row>
    <row r="12" spans="1:16" x14ac:dyDescent="0.3">
      <c r="A12">
        <v>10</v>
      </c>
      <c r="B12" t="s">
        <v>36</v>
      </c>
      <c r="C12" t="s">
        <v>37</v>
      </c>
      <c r="D12" t="s">
        <v>12</v>
      </c>
      <c r="E12" t="s">
        <v>611</v>
      </c>
      <c r="F12" s="4">
        <v>46117</v>
      </c>
      <c r="G12" t="s">
        <v>483</v>
      </c>
      <c r="H12" t="s">
        <v>195</v>
      </c>
      <c r="I12" t="s">
        <v>189</v>
      </c>
      <c r="J12" t="s">
        <v>181</v>
      </c>
      <c r="K12">
        <v>6</v>
      </c>
      <c r="L12">
        <v>6</v>
      </c>
      <c r="M12">
        <v>4194</v>
      </c>
      <c r="N12" t="s">
        <v>8</v>
      </c>
      <c r="O12">
        <v>4.4000000000000004</v>
      </c>
      <c r="P12" t="s">
        <v>9</v>
      </c>
    </row>
    <row r="13" spans="1:16" x14ac:dyDescent="0.3">
      <c r="A13">
        <v>11</v>
      </c>
      <c r="B13" t="s">
        <v>38</v>
      </c>
      <c r="C13" t="s">
        <v>39</v>
      </c>
      <c r="D13" t="s">
        <v>7</v>
      </c>
      <c r="E13" t="s">
        <v>612</v>
      </c>
      <c r="F13" s="4">
        <v>46118</v>
      </c>
      <c r="G13" t="s">
        <v>40</v>
      </c>
      <c r="H13" t="s">
        <v>179</v>
      </c>
      <c r="I13" t="s">
        <v>190</v>
      </c>
      <c r="J13" t="s">
        <v>181</v>
      </c>
      <c r="K13">
        <v>4</v>
      </c>
      <c r="L13">
        <v>4</v>
      </c>
      <c r="M13">
        <v>6396</v>
      </c>
      <c r="N13" t="s">
        <v>192</v>
      </c>
      <c r="O13">
        <v>4.2</v>
      </c>
      <c r="P13" t="s">
        <v>9</v>
      </c>
    </row>
    <row r="14" spans="1:16" x14ac:dyDescent="0.3">
      <c r="A14">
        <v>12</v>
      </c>
      <c r="B14" t="s">
        <v>41</v>
      </c>
      <c r="C14" t="s">
        <v>42</v>
      </c>
      <c r="D14" t="s">
        <v>12</v>
      </c>
      <c r="E14" t="s">
        <v>613</v>
      </c>
      <c r="F14" s="4">
        <v>46118</v>
      </c>
      <c r="G14" t="s">
        <v>484</v>
      </c>
      <c r="H14" t="s">
        <v>182</v>
      </c>
      <c r="I14" t="s">
        <v>193</v>
      </c>
      <c r="J14" t="s">
        <v>181</v>
      </c>
      <c r="K14">
        <v>2</v>
      </c>
      <c r="L14">
        <v>2</v>
      </c>
      <c r="M14">
        <v>4398</v>
      </c>
      <c r="N14" t="s">
        <v>184</v>
      </c>
      <c r="O14">
        <v>4.8</v>
      </c>
      <c r="P14" t="s">
        <v>9</v>
      </c>
    </row>
    <row r="15" spans="1:16" x14ac:dyDescent="0.3">
      <c r="A15">
        <v>13</v>
      </c>
      <c r="B15" t="s">
        <v>44</v>
      </c>
      <c r="C15" t="s">
        <v>45</v>
      </c>
      <c r="D15" t="s">
        <v>7</v>
      </c>
      <c r="E15" t="s">
        <v>485</v>
      </c>
      <c r="F15" s="4">
        <v>46119</v>
      </c>
      <c r="G15" t="s">
        <v>486</v>
      </c>
      <c r="H15" t="s">
        <v>185</v>
      </c>
      <c r="I15" t="s">
        <v>194</v>
      </c>
      <c r="J15" t="s">
        <v>187</v>
      </c>
      <c r="K15">
        <v>5</v>
      </c>
      <c r="L15">
        <v>5</v>
      </c>
      <c r="M15">
        <v>6995</v>
      </c>
      <c r="N15" t="s">
        <v>8</v>
      </c>
      <c r="O15">
        <v>4.5</v>
      </c>
      <c r="P15" t="s">
        <v>9</v>
      </c>
    </row>
    <row r="16" spans="1:16" x14ac:dyDescent="0.3">
      <c r="A16">
        <v>14</v>
      </c>
      <c r="B16" t="s">
        <v>46</v>
      </c>
      <c r="C16" t="s">
        <v>47</v>
      </c>
      <c r="D16" t="s">
        <v>12</v>
      </c>
      <c r="E16" t="s">
        <v>614</v>
      </c>
      <c r="F16" s="4">
        <v>46119</v>
      </c>
      <c r="G16" t="s">
        <v>487</v>
      </c>
      <c r="H16" t="s">
        <v>182</v>
      </c>
      <c r="I16" t="s">
        <v>180</v>
      </c>
      <c r="J16" t="s">
        <v>181</v>
      </c>
      <c r="K16">
        <v>3</v>
      </c>
      <c r="L16">
        <v>3</v>
      </c>
      <c r="M16">
        <v>3597</v>
      </c>
      <c r="N16" t="s">
        <v>478</v>
      </c>
      <c r="O16">
        <v>4.5999999999999996</v>
      </c>
      <c r="P16" t="s">
        <v>9</v>
      </c>
    </row>
    <row r="17" spans="1:16" x14ac:dyDescent="0.3">
      <c r="A17">
        <v>15</v>
      </c>
      <c r="B17" t="s">
        <v>49</v>
      </c>
      <c r="C17" t="s">
        <v>50</v>
      </c>
      <c r="D17" t="s">
        <v>7</v>
      </c>
      <c r="E17" t="s">
        <v>615</v>
      </c>
      <c r="F17" s="4">
        <v>46120</v>
      </c>
      <c r="G17" t="s">
        <v>51</v>
      </c>
      <c r="H17" t="s">
        <v>185</v>
      </c>
      <c r="I17" t="s">
        <v>186</v>
      </c>
      <c r="J17" t="s">
        <v>181</v>
      </c>
      <c r="K17">
        <v>2</v>
      </c>
      <c r="L17">
        <v>2</v>
      </c>
      <c r="M17">
        <v>5998</v>
      </c>
      <c r="N17" t="s">
        <v>184</v>
      </c>
      <c r="O17">
        <v>4.9000000000000004</v>
      </c>
      <c r="P17" t="s">
        <v>9</v>
      </c>
    </row>
    <row r="18" spans="1:16" x14ac:dyDescent="0.3">
      <c r="A18">
        <v>16</v>
      </c>
      <c r="B18" t="s">
        <v>52</v>
      </c>
      <c r="C18" t="s">
        <v>53</v>
      </c>
      <c r="D18" t="s">
        <v>12</v>
      </c>
      <c r="E18" t="s">
        <v>616</v>
      </c>
      <c r="F18" s="4">
        <v>46120</v>
      </c>
      <c r="G18" t="s">
        <v>54</v>
      </c>
      <c r="H18" t="s">
        <v>494</v>
      </c>
      <c r="I18" t="s">
        <v>189</v>
      </c>
      <c r="J18" t="s">
        <v>181</v>
      </c>
      <c r="K18">
        <v>1</v>
      </c>
      <c r="L18">
        <v>1</v>
      </c>
      <c r="M18">
        <v>4999</v>
      </c>
      <c r="N18" t="s">
        <v>8</v>
      </c>
      <c r="O18">
        <v>4.7</v>
      </c>
      <c r="P18" t="s">
        <v>9</v>
      </c>
    </row>
    <row r="19" spans="1:16" x14ac:dyDescent="0.3">
      <c r="A19">
        <v>17</v>
      </c>
      <c r="B19" t="s">
        <v>55</v>
      </c>
      <c r="C19" t="s">
        <v>56</v>
      </c>
      <c r="D19" t="s">
        <v>7</v>
      </c>
      <c r="E19" t="s">
        <v>617</v>
      </c>
      <c r="F19" s="4">
        <v>46121</v>
      </c>
      <c r="G19" t="s">
        <v>488</v>
      </c>
      <c r="H19" t="s">
        <v>182</v>
      </c>
      <c r="I19" t="s">
        <v>190</v>
      </c>
      <c r="J19" t="s">
        <v>191</v>
      </c>
      <c r="K19">
        <v>7</v>
      </c>
      <c r="L19">
        <v>7</v>
      </c>
      <c r="M19">
        <v>4193</v>
      </c>
      <c r="N19" t="s">
        <v>192</v>
      </c>
      <c r="O19">
        <v>4.0999999999999996</v>
      </c>
      <c r="P19" t="s">
        <v>9</v>
      </c>
    </row>
    <row r="20" spans="1:16" x14ac:dyDescent="0.3">
      <c r="A20">
        <v>18</v>
      </c>
      <c r="B20" t="s">
        <v>57</v>
      </c>
      <c r="C20" t="s">
        <v>58</v>
      </c>
      <c r="D20" t="s">
        <v>12</v>
      </c>
      <c r="E20" t="s">
        <v>618</v>
      </c>
      <c r="F20" s="4">
        <v>46121</v>
      </c>
      <c r="G20" t="s">
        <v>489</v>
      </c>
      <c r="H20" t="s">
        <v>179</v>
      </c>
      <c r="I20" t="s">
        <v>193</v>
      </c>
      <c r="J20" t="s">
        <v>181</v>
      </c>
      <c r="K20">
        <v>2</v>
      </c>
      <c r="L20">
        <v>2</v>
      </c>
      <c r="M20">
        <v>5598</v>
      </c>
      <c r="N20" t="s">
        <v>184</v>
      </c>
      <c r="O20">
        <v>4.8</v>
      </c>
      <c r="P20" t="s">
        <v>9</v>
      </c>
    </row>
    <row r="21" spans="1:16" x14ac:dyDescent="0.3">
      <c r="A21">
        <v>19</v>
      </c>
      <c r="B21" t="s">
        <v>59</v>
      </c>
      <c r="C21" t="s">
        <v>60</v>
      </c>
      <c r="D21" t="s">
        <v>7</v>
      </c>
      <c r="E21" t="s">
        <v>619</v>
      </c>
      <c r="F21" s="4">
        <v>46122</v>
      </c>
      <c r="G21" t="s">
        <v>61</v>
      </c>
      <c r="H21" t="s">
        <v>185</v>
      </c>
      <c r="I21" t="s">
        <v>194</v>
      </c>
      <c r="J21" t="s">
        <v>181</v>
      </c>
      <c r="K21">
        <v>1</v>
      </c>
      <c r="L21">
        <v>1</v>
      </c>
      <c r="M21">
        <v>3999</v>
      </c>
      <c r="N21" t="s">
        <v>478</v>
      </c>
      <c r="O21">
        <v>4.4000000000000004</v>
      </c>
      <c r="P21" t="s">
        <v>9</v>
      </c>
    </row>
    <row r="22" spans="1:16" x14ac:dyDescent="0.3">
      <c r="A22">
        <v>20</v>
      </c>
      <c r="B22" t="s">
        <v>62</v>
      </c>
      <c r="C22" t="s">
        <v>63</v>
      </c>
      <c r="D22" t="s">
        <v>12</v>
      </c>
      <c r="E22" t="s">
        <v>620</v>
      </c>
      <c r="F22" s="4">
        <v>46122</v>
      </c>
      <c r="G22" t="s">
        <v>490</v>
      </c>
      <c r="H22" t="s">
        <v>195</v>
      </c>
      <c r="I22" t="s">
        <v>180</v>
      </c>
      <c r="J22" t="s">
        <v>181</v>
      </c>
      <c r="K22">
        <v>4</v>
      </c>
      <c r="L22">
        <v>4</v>
      </c>
      <c r="M22">
        <v>5996</v>
      </c>
      <c r="N22" t="s">
        <v>8</v>
      </c>
      <c r="O22">
        <v>4.5999999999999996</v>
      </c>
      <c r="P22" t="s">
        <v>9</v>
      </c>
    </row>
    <row r="23" spans="1:16" x14ac:dyDescent="0.3">
      <c r="A23">
        <v>21</v>
      </c>
      <c r="B23" t="s">
        <v>65</v>
      </c>
      <c r="C23" t="s">
        <v>66</v>
      </c>
      <c r="D23" t="s">
        <v>7</v>
      </c>
      <c r="E23" t="s">
        <v>621</v>
      </c>
      <c r="F23" s="4">
        <v>46123</v>
      </c>
      <c r="G23" t="s">
        <v>28</v>
      </c>
      <c r="H23" t="s">
        <v>179</v>
      </c>
      <c r="I23" t="s">
        <v>197</v>
      </c>
      <c r="J23" t="s">
        <v>181</v>
      </c>
      <c r="K23">
        <v>2</v>
      </c>
      <c r="L23">
        <v>2</v>
      </c>
      <c r="M23">
        <v>3998</v>
      </c>
      <c r="N23" t="s">
        <v>8</v>
      </c>
      <c r="O23">
        <v>4.5</v>
      </c>
      <c r="P23" t="s">
        <v>9</v>
      </c>
    </row>
    <row r="24" spans="1:16" x14ac:dyDescent="0.3">
      <c r="A24">
        <v>22</v>
      </c>
      <c r="B24" t="s">
        <v>67</v>
      </c>
      <c r="C24" t="s">
        <v>68</v>
      </c>
      <c r="D24" t="s">
        <v>12</v>
      </c>
      <c r="E24" t="s">
        <v>622</v>
      </c>
      <c r="F24" s="4">
        <v>46123</v>
      </c>
      <c r="G24" t="s">
        <v>69</v>
      </c>
      <c r="H24" t="s">
        <v>182</v>
      </c>
      <c r="I24" t="s">
        <v>198</v>
      </c>
      <c r="J24" t="s">
        <v>181</v>
      </c>
      <c r="K24">
        <v>3</v>
      </c>
      <c r="L24">
        <v>3</v>
      </c>
      <c r="M24">
        <v>3897</v>
      </c>
      <c r="N24" t="s">
        <v>184</v>
      </c>
      <c r="O24">
        <v>4.7</v>
      </c>
      <c r="P24" t="s">
        <v>9</v>
      </c>
    </row>
    <row r="25" spans="1:16" x14ac:dyDescent="0.3">
      <c r="A25">
        <v>23</v>
      </c>
      <c r="B25" t="s">
        <v>70</v>
      </c>
      <c r="C25" t="s">
        <v>71</v>
      </c>
      <c r="D25" t="s">
        <v>7</v>
      </c>
      <c r="E25" t="s">
        <v>623</v>
      </c>
      <c r="F25" s="4">
        <v>46124</v>
      </c>
      <c r="G25" t="s">
        <v>35</v>
      </c>
      <c r="H25" t="s">
        <v>185</v>
      </c>
      <c r="I25" t="s">
        <v>199</v>
      </c>
      <c r="J25" t="s">
        <v>187</v>
      </c>
      <c r="K25">
        <v>2</v>
      </c>
      <c r="L25">
        <v>2</v>
      </c>
      <c r="M25">
        <v>3798</v>
      </c>
      <c r="N25" t="s">
        <v>478</v>
      </c>
      <c r="O25">
        <v>4.3</v>
      </c>
      <c r="P25" t="s">
        <v>9</v>
      </c>
    </row>
    <row r="26" spans="1:16" x14ac:dyDescent="0.3">
      <c r="A26">
        <v>24</v>
      </c>
      <c r="B26" t="s">
        <v>72</v>
      </c>
      <c r="C26" t="s">
        <v>73</v>
      </c>
      <c r="D26" t="s">
        <v>12</v>
      </c>
      <c r="E26" t="s">
        <v>624</v>
      </c>
      <c r="F26" s="4">
        <v>46124</v>
      </c>
      <c r="G26" t="s">
        <v>54</v>
      </c>
      <c r="H26" t="s">
        <v>494</v>
      </c>
      <c r="I26" t="s">
        <v>180</v>
      </c>
      <c r="J26" t="s">
        <v>181</v>
      </c>
      <c r="K26">
        <v>1</v>
      </c>
      <c r="L26">
        <v>1</v>
      </c>
      <c r="M26">
        <v>4999</v>
      </c>
      <c r="N26" t="s">
        <v>8</v>
      </c>
      <c r="O26">
        <v>4.9000000000000004</v>
      </c>
      <c r="P26" t="s">
        <v>9</v>
      </c>
    </row>
    <row r="27" spans="1:16" x14ac:dyDescent="0.3">
      <c r="A27">
        <v>25</v>
      </c>
      <c r="B27" t="s">
        <v>74</v>
      </c>
      <c r="C27" t="s">
        <v>75</v>
      </c>
      <c r="D27" t="s">
        <v>7</v>
      </c>
      <c r="E27" t="s">
        <v>625</v>
      </c>
      <c r="F27" s="4">
        <v>46125</v>
      </c>
      <c r="G27" t="s">
        <v>481</v>
      </c>
      <c r="H27" t="s">
        <v>182</v>
      </c>
      <c r="I27" t="s">
        <v>186</v>
      </c>
      <c r="J27" t="s">
        <v>181</v>
      </c>
      <c r="K27">
        <v>4</v>
      </c>
      <c r="L27">
        <v>4</v>
      </c>
      <c r="M27">
        <v>3996</v>
      </c>
      <c r="N27" t="s">
        <v>192</v>
      </c>
      <c r="O27">
        <v>4.2</v>
      </c>
      <c r="P27" t="s">
        <v>9</v>
      </c>
    </row>
    <row r="28" spans="1:16" x14ac:dyDescent="0.3">
      <c r="A28">
        <v>26</v>
      </c>
      <c r="B28" t="s">
        <v>76</v>
      </c>
      <c r="C28" t="s">
        <v>77</v>
      </c>
      <c r="D28" t="s">
        <v>12</v>
      </c>
      <c r="E28" t="s">
        <v>626</v>
      </c>
      <c r="F28" s="4">
        <v>46125</v>
      </c>
      <c r="G28" t="s">
        <v>483</v>
      </c>
      <c r="H28" t="s">
        <v>195</v>
      </c>
      <c r="I28" t="s">
        <v>189</v>
      </c>
      <c r="J28" t="s">
        <v>191</v>
      </c>
      <c r="K28">
        <v>5</v>
      </c>
      <c r="L28">
        <v>5</v>
      </c>
      <c r="M28">
        <v>3495</v>
      </c>
      <c r="N28" t="s">
        <v>8</v>
      </c>
      <c r="O28">
        <v>4</v>
      </c>
      <c r="P28" t="s">
        <v>9</v>
      </c>
    </row>
    <row r="29" spans="1:16" x14ac:dyDescent="0.3">
      <c r="A29">
        <v>27</v>
      </c>
      <c r="B29" t="s">
        <v>78</v>
      </c>
      <c r="C29" t="s">
        <v>79</v>
      </c>
      <c r="D29" t="s">
        <v>7</v>
      </c>
      <c r="E29" t="s">
        <v>627</v>
      </c>
      <c r="F29" s="4">
        <v>46126</v>
      </c>
      <c r="G29" t="s">
        <v>479</v>
      </c>
      <c r="H29" t="s">
        <v>179</v>
      </c>
      <c r="I29" t="s">
        <v>190</v>
      </c>
      <c r="J29" t="s">
        <v>181</v>
      </c>
      <c r="K29">
        <v>2</v>
      </c>
      <c r="L29">
        <v>2</v>
      </c>
      <c r="M29">
        <v>3598</v>
      </c>
      <c r="N29" t="s">
        <v>184</v>
      </c>
      <c r="O29">
        <v>4.5999999999999996</v>
      </c>
      <c r="P29" t="s">
        <v>9</v>
      </c>
    </row>
    <row r="30" spans="1:16" x14ac:dyDescent="0.3">
      <c r="A30">
        <v>28</v>
      </c>
      <c r="B30" t="s">
        <v>80</v>
      </c>
      <c r="C30" t="s">
        <v>81</v>
      </c>
      <c r="D30" t="s">
        <v>12</v>
      </c>
      <c r="E30" t="s">
        <v>628</v>
      </c>
      <c r="F30" s="4">
        <v>46126</v>
      </c>
      <c r="G30" t="s">
        <v>489</v>
      </c>
      <c r="H30" t="s">
        <v>182</v>
      </c>
      <c r="I30" t="s">
        <v>194</v>
      </c>
      <c r="J30" t="s">
        <v>181</v>
      </c>
      <c r="K30">
        <v>2</v>
      </c>
      <c r="L30">
        <v>2</v>
      </c>
      <c r="M30">
        <v>5598</v>
      </c>
      <c r="N30" t="s">
        <v>478</v>
      </c>
      <c r="O30">
        <v>4.8</v>
      </c>
      <c r="P30" t="s">
        <v>9</v>
      </c>
    </row>
    <row r="31" spans="1:16" x14ac:dyDescent="0.3">
      <c r="A31">
        <v>29</v>
      </c>
      <c r="B31" t="s">
        <v>82</v>
      </c>
      <c r="C31" t="s">
        <v>83</v>
      </c>
      <c r="D31" t="s">
        <v>7</v>
      </c>
      <c r="E31" t="s">
        <v>629</v>
      </c>
      <c r="F31" s="4">
        <v>46127</v>
      </c>
      <c r="G31" t="s">
        <v>486</v>
      </c>
      <c r="H31" t="s">
        <v>185</v>
      </c>
      <c r="I31" t="s">
        <v>193</v>
      </c>
      <c r="J31" t="s">
        <v>187</v>
      </c>
      <c r="K31">
        <v>3</v>
      </c>
      <c r="L31">
        <v>3</v>
      </c>
      <c r="M31">
        <v>4197</v>
      </c>
      <c r="N31" t="s">
        <v>184</v>
      </c>
      <c r="O31">
        <v>4.4000000000000004</v>
      </c>
      <c r="P31" t="s">
        <v>9</v>
      </c>
    </row>
    <row r="32" spans="1:16" x14ac:dyDescent="0.3">
      <c r="A32">
        <v>30</v>
      </c>
      <c r="B32" t="s">
        <v>84</v>
      </c>
      <c r="C32" t="s">
        <v>85</v>
      </c>
      <c r="D32" t="s">
        <v>12</v>
      </c>
      <c r="E32" t="s">
        <v>630</v>
      </c>
      <c r="F32" s="4">
        <v>46127</v>
      </c>
      <c r="G32" t="s">
        <v>484</v>
      </c>
      <c r="H32" t="s">
        <v>182</v>
      </c>
      <c r="I32" t="s">
        <v>197</v>
      </c>
      <c r="J32" t="s">
        <v>181</v>
      </c>
      <c r="K32">
        <v>2</v>
      </c>
      <c r="L32">
        <v>2</v>
      </c>
      <c r="M32">
        <v>4398</v>
      </c>
      <c r="N32" t="s">
        <v>8</v>
      </c>
      <c r="O32">
        <v>4.7</v>
      </c>
      <c r="P32" t="s">
        <v>9</v>
      </c>
    </row>
    <row r="33" spans="1:16" x14ac:dyDescent="0.3">
      <c r="A33">
        <v>31</v>
      </c>
      <c r="B33" t="s">
        <v>86</v>
      </c>
      <c r="C33" t="s">
        <v>87</v>
      </c>
      <c r="D33" t="s">
        <v>7</v>
      </c>
      <c r="E33" t="s">
        <v>631</v>
      </c>
      <c r="F33" s="4">
        <v>46128</v>
      </c>
      <c r="G33" t="s">
        <v>488</v>
      </c>
      <c r="H33" t="s">
        <v>179</v>
      </c>
      <c r="I33" t="s">
        <v>198</v>
      </c>
      <c r="J33" t="s">
        <v>181</v>
      </c>
      <c r="K33">
        <v>6</v>
      </c>
      <c r="L33">
        <v>6</v>
      </c>
      <c r="M33">
        <v>3594</v>
      </c>
      <c r="N33" t="s">
        <v>192</v>
      </c>
      <c r="O33">
        <v>4.0999999999999996</v>
      </c>
      <c r="P33" t="s">
        <v>9</v>
      </c>
    </row>
    <row r="34" spans="1:16" x14ac:dyDescent="0.3">
      <c r="A34">
        <v>32</v>
      </c>
      <c r="B34" t="s">
        <v>88</v>
      </c>
      <c r="C34" t="s">
        <v>89</v>
      </c>
      <c r="D34" t="s">
        <v>12</v>
      </c>
      <c r="E34" t="s">
        <v>632</v>
      </c>
      <c r="F34" s="4">
        <v>46128</v>
      </c>
      <c r="G34" t="s">
        <v>482</v>
      </c>
      <c r="H34" t="s">
        <v>185</v>
      </c>
      <c r="I34" t="s">
        <v>199</v>
      </c>
      <c r="J34" t="s">
        <v>181</v>
      </c>
      <c r="K34">
        <v>1</v>
      </c>
      <c r="L34">
        <v>1</v>
      </c>
      <c r="M34">
        <v>3499</v>
      </c>
      <c r="N34" t="s">
        <v>184</v>
      </c>
      <c r="O34">
        <v>4.5999999999999996</v>
      </c>
      <c r="P34" t="s">
        <v>9</v>
      </c>
    </row>
    <row r="35" spans="1:16" x14ac:dyDescent="0.3">
      <c r="A35">
        <v>33</v>
      </c>
      <c r="B35" t="s">
        <v>90</v>
      </c>
      <c r="C35" t="s">
        <v>91</v>
      </c>
      <c r="D35" t="s">
        <v>7</v>
      </c>
      <c r="E35" t="s">
        <v>92</v>
      </c>
      <c r="F35" s="4">
        <v>46129</v>
      </c>
      <c r="G35" t="s">
        <v>40</v>
      </c>
      <c r="H35" t="s">
        <v>185</v>
      </c>
      <c r="I35" t="s">
        <v>180</v>
      </c>
      <c r="J35" t="s">
        <v>191</v>
      </c>
      <c r="K35">
        <v>3</v>
      </c>
      <c r="L35">
        <v>3</v>
      </c>
      <c r="M35">
        <v>4797</v>
      </c>
      <c r="N35" t="s">
        <v>478</v>
      </c>
      <c r="O35">
        <v>4.2</v>
      </c>
      <c r="P35" t="s">
        <v>9</v>
      </c>
    </row>
    <row r="36" spans="1:16" x14ac:dyDescent="0.3">
      <c r="A36">
        <v>34</v>
      </c>
      <c r="B36" t="s">
        <v>93</v>
      </c>
      <c r="C36" t="s">
        <v>94</v>
      </c>
      <c r="D36" t="s">
        <v>12</v>
      </c>
      <c r="E36" t="s">
        <v>633</v>
      </c>
      <c r="F36" s="4">
        <v>46129</v>
      </c>
      <c r="G36" t="s">
        <v>487</v>
      </c>
      <c r="H36" t="s">
        <v>182</v>
      </c>
      <c r="I36" t="s">
        <v>186</v>
      </c>
      <c r="J36" t="s">
        <v>181</v>
      </c>
      <c r="K36">
        <v>4</v>
      </c>
      <c r="L36">
        <v>4</v>
      </c>
      <c r="M36">
        <v>4796</v>
      </c>
      <c r="N36" t="s">
        <v>8</v>
      </c>
      <c r="O36">
        <v>4.8</v>
      </c>
      <c r="P36" t="s">
        <v>9</v>
      </c>
    </row>
    <row r="37" spans="1:16" x14ac:dyDescent="0.3">
      <c r="A37">
        <v>35</v>
      </c>
      <c r="B37" t="s">
        <v>95</v>
      </c>
      <c r="C37" t="s">
        <v>96</v>
      </c>
      <c r="D37" t="s">
        <v>7</v>
      </c>
      <c r="E37" t="s">
        <v>634</v>
      </c>
      <c r="F37" s="4">
        <v>46130</v>
      </c>
      <c r="G37" t="s">
        <v>61</v>
      </c>
      <c r="H37" t="s">
        <v>185</v>
      </c>
      <c r="I37" t="s">
        <v>189</v>
      </c>
      <c r="J37" t="s">
        <v>181</v>
      </c>
      <c r="K37">
        <v>1</v>
      </c>
      <c r="L37">
        <v>1</v>
      </c>
      <c r="M37">
        <v>3999</v>
      </c>
      <c r="N37" t="s">
        <v>184</v>
      </c>
      <c r="O37">
        <v>4.5</v>
      </c>
      <c r="P37" t="s">
        <v>9</v>
      </c>
    </row>
    <row r="38" spans="1:16" x14ac:dyDescent="0.3">
      <c r="A38">
        <v>36</v>
      </c>
      <c r="B38" t="s">
        <v>97</v>
      </c>
      <c r="C38" t="s">
        <v>98</v>
      </c>
      <c r="D38" t="s">
        <v>12</v>
      </c>
      <c r="E38" t="s">
        <v>635</v>
      </c>
      <c r="F38" s="4">
        <v>46130</v>
      </c>
      <c r="G38" t="s">
        <v>490</v>
      </c>
      <c r="H38" t="s">
        <v>195</v>
      </c>
      <c r="I38" t="s">
        <v>190</v>
      </c>
      <c r="J38" t="s">
        <v>187</v>
      </c>
      <c r="K38">
        <v>3</v>
      </c>
      <c r="L38">
        <v>3</v>
      </c>
      <c r="M38">
        <v>4497</v>
      </c>
      <c r="N38" t="s">
        <v>478</v>
      </c>
      <c r="O38">
        <v>4.4000000000000004</v>
      </c>
      <c r="P38" t="s">
        <v>9</v>
      </c>
    </row>
    <row r="39" spans="1:16" x14ac:dyDescent="0.3">
      <c r="A39">
        <v>37</v>
      </c>
      <c r="B39" t="s">
        <v>99</v>
      </c>
      <c r="C39" t="s">
        <v>100</v>
      </c>
      <c r="D39" t="s">
        <v>7</v>
      </c>
      <c r="E39" t="s">
        <v>636</v>
      </c>
      <c r="F39" s="4">
        <v>46131</v>
      </c>
      <c r="G39" t="s">
        <v>51</v>
      </c>
      <c r="H39" t="s">
        <v>200</v>
      </c>
      <c r="I39" t="s">
        <v>194</v>
      </c>
      <c r="J39" t="s">
        <v>181</v>
      </c>
      <c r="K39">
        <v>2</v>
      </c>
      <c r="L39">
        <v>2</v>
      </c>
      <c r="M39">
        <v>5998</v>
      </c>
      <c r="N39" t="s">
        <v>8</v>
      </c>
      <c r="O39">
        <v>4.9000000000000004</v>
      </c>
      <c r="P39" t="s">
        <v>9</v>
      </c>
    </row>
    <row r="40" spans="1:16" x14ac:dyDescent="0.3">
      <c r="A40">
        <v>38</v>
      </c>
      <c r="B40" t="s">
        <v>101</v>
      </c>
      <c r="C40" t="s">
        <v>102</v>
      </c>
      <c r="D40" t="s">
        <v>12</v>
      </c>
      <c r="E40" t="s">
        <v>637</v>
      </c>
      <c r="F40" s="4">
        <v>46131</v>
      </c>
      <c r="G40" t="s">
        <v>69</v>
      </c>
      <c r="H40" t="s">
        <v>179</v>
      </c>
      <c r="I40" t="s">
        <v>193</v>
      </c>
      <c r="J40" t="s">
        <v>181</v>
      </c>
      <c r="K40">
        <v>5</v>
      </c>
      <c r="L40">
        <v>5</v>
      </c>
      <c r="M40">
        <v>6495</v>
      </c>
      <c r="N40" t="s">
        <v>192</v>
      </c>
      <c r="O40">
        <v>4.7</v>
      </c>
      <c r="P40" t="s">
        <v>9</v>
      </c>
    </row>
    <row r="41" spans="1:16" x14ac:dyDescent="0.3">
      <c r="A41">
        <v>39</v>
      </c>
      <c r="B41" t="s">
        <v>103</v>
      </c>
      <c r="C41" t="s">
        <v>104</v>
      </c>
      <c r="D41" t="s">
        <v>7</v>
      </c>
      <c r="E41" t="s">
        <v>638</v>
      </c>
      <c r="F41" s="4">
        <v>46132</v>
      </c>
      <c r="G41" t="s">
        <v>509</v>
      </c>
      <c r="H41" t="s">
        <v>182</v>
      </c>
      <c r="I41" t="s">
        <v>197</v>
      </c>
      <c r="J41" t="s">
        <v>181</v>
      </c>
      <c r="K41">
        <v>3</v>
      </c>
      <c r="L41">
        <v>3</v>
      </c>
      <c r="M41">
        <v>3297</v>
      </c>
      <c r="N41" t="s">
        <v>184</v>
      </c>
      <c r="O41">
        <v>4.3</v>
      </c>
      <c r="P41" t="s">
        <v>9</v>
      </c>
    </row>
    <row r="42" spans="1:16" x14ac:dyDescent="0.3">
      <c r="A42">
        <v>40</v>
      </c>
      <c r="B42" t="s">
        <v>106</v>
      </c>
      <c r="C42" t="s">
        <v>107</v>
      </c>
      <c r="D42" t="s">
        <v>12</v>
      </c>
      <c r="E42" t="s">
        <v>639</v>
      </c>
      <c r="F42" s="4">
        <v>46132</v>
      </c>
      <c r="G42" t="s">
        <v>28</v>
      </c>
      <c r="H42" t="s">
        <v>185</v>
      </c>
      <c r="I42" t="s">
        <v>198</v>
      </c>
      <c r="J42" t="s">
        <v>191</v>
      </c>
      <c r="K42">
        <v>2</v>
      </c>
      <c r="L42">
        <v>2</v>
      </c>
      <c r="M42">
        <v>3998</v>
      </c>
      <c r="N42" t="s">
        <v>8</v>
      </c>
      <c r="O42">
        <v>4.0999999999999996</v>
      </c>
      <c r="P42" t="s">
        <v>9</v>
      </c>
    </row>
    <row r="43" spans="1:16" x14ac:dyDescent="0.3">
      <c r="A43">
        <v>41</v>
      </c>
      <c r="B43" t="s">
        <v>108</v>
      </c>
      <c r="C43" t="s">
        <v>109</v>
      </c>
      <c r="D43" t="s">
        <v>7</v>
      </c>
      <c r="E43" t="s">
        <v>640</v>
      </c>
      <c r="F43" s="4">
        <v>46133</v>
      </c>
      <c r="G43" t="s">
        <v>35</v>
      </c>
      <c r="H43" t="s">
        <v>179</v>
      </c>
      <c r="I43" t="s">
        <v>199</v>
      </c>
      <c r="J43" t="s">
        <v>181</v>
      </c>
      <c r="K43">
        <v>4</v>
      </c>
      <c r="L43">
        <v>4</v>
      </c>
      <c r="M43">
        <v>7596</v>
      </c>
      <c r="N43" t="s">
        <v>478</v>
      </c>
      <c r="O43">
        <v>4.5999999999999996</v>
      </c>
      <c r="P43" t="s">
        <v>9</v>
      </c>
    </row>
    <row r="44" spans="1:16" x14ac:dyDescent="0.3">
      <c r="A44">
        <v>42</v>
      </c>
      <c r="B44" t="s">
        <v>110</v>
      </c>
      <c r="C44" t="s">
        <v>111</v>
      </c>
      <c r="D44" t="s">
        <v>12</v>
      </c>
      <c r="E44" t="s">
        <v>641</v>
      </c>
      <c r="F44" s="4">
        <v>46133</v>
      </c>
      <c r="G44" t="s">
        <v>54</v>
      </c>
      <c r="H44" t="s">
        <v>494</v>
      </c>
      <c r="I44" t="s">
        <v>180</v>
      </c>
      <c r="J44" t="s">
        <v>181</v>
      </c>
      <c r="K44">
        <v>1</v>
      </c>
      <c r="L44">
        <v>1</v>
      </c>
      <c r="M44">
        <v>4999</v>
      </c>
      <c r="N44" t="s">
        <v>184</v>
      </c>
      <c r="O44">
        <v>4.8</v>
      </c>
      <c r="P44" t="s">
        <v>9</v>
      </c>
    </row>
    <row r="45" spans="1:16" x14ac:dyDescent="0.3">
      <c r="A45">
        <v>43</v>
      </c>
      <c r="B45" t="s">
        <v>112</v>
      </c>
      <c r="C45" t="s">
        <v>113</v>
      </c>
      <c r="D45" t="s">
        <v>7</v>
      </c>
      <c r="E45" t="s">
        <v>642</v>
      </c>
      <c r="F45" s="4">
        <v>46134</v>
      </c>
      <c r="G45" t="s">
        <v>481</v>
      </c>
      <c r="H45" t="s">
        <v>182</v>
      </c>
      <c r="I45" t="s">
        <v>186</v>
      </c>
      <c r="J45" t="s">
        <v>187</v>
      </c>
      <c r="K45">
        <v>5</v>
      </c>
      <c r="L45">
        <v>5</v>
      </c>
      <c r="M45">
        <v>4995</v>
      </c>
      <c r="N45" t="s">
        <v>8</v>
      </c>
      <c r="O45">
        <v>4.4000000000000004</v>
      </c>
      <c r="P45" t="s">
        <v>9</v>
      </c>
    </row>
    <row r="46" spans="1:16" x14ac:dyDescent="0.3">
      <c r="A46">
        <v>44</v>
      </c>
      <c r="B46" t="s">
        <v>114</v>
      </c>
      <c r="C46" t="s">
        <v>115</v>
      </c>
      <c r="D46" t="s">
        <v>12</v>
      </c>
      <c r="E46" t="s">
        <v>643</v>
      </c>
      <c r="F46" s="4">
        <v>46134</v>
      </c>
      <c r="G46" t="s">
        <v>483</v>
      </c>
      <c r="H46" t="s">
        <v>195</v>
      </c>
      <c r="I46" t="s">
        <v>189</v>
      </c>
      <c r="J46" t="s">
        <v>181</v>
      </c>
      <c r="K46">
        <v>4</v>
      </c>
      <c r="L46">
        <v>4</v>
      </c>
      <c r="M46">
        <v>2796</v>
      </c>
      <c r="N46" t="s">
        <v>192</v>
      </c>
      <c r="O46">
        <v>4.2</v>
      </c>
      <c r="P46" t="s">
        <v>9</v>
      </c>
    </row>
    <row r="47" spans="1:16" x14ac:dyDescent="0.3">
      <c r="A47">
        <v>45</v>
      </c>
      <c r="B47" t="s">
        <v>116</v>
      </c>
      <c r="C47" t="s">
        <v>117</v>
      </c>
      <c r="D47" t="s">
        <v>7</v>
      </c>
      <c r="E47" t="s">
        <v>644</v>
      </c>
      <c r="F47" s="4">
        <v>46135</v>
      </c>
      <c r="G47" t="s">
        <v>479</v>
      </c>
      <c r="H47" t="s">
        <v>185</v>
      </c>
      <c r="I47" t="s">
        <v>190</v>
      </c>
      <c r="J47" t="s">
        <v>181</v>
      </c>
      <c r="K47">
        <v>3</v>
      </c>
      <c r="L47">
        <v>3</v>
      </c>
      <c r="M47">
        <v>5397</v>
      </c>
      <c r="N47" t="s">
        <v>184</v>
      </c>
      <c r="O47">
        <v>4.7</v>
      </c>
      <c r="P47" t="s">
        <v>9</v>
      </c>
    </row>
    <row r="48" spans="1:16" x14ac:dyDescent="0.3">
      <c r="A48">
        <v>46</v>
      </c>
      <c r="B48" t="s">
        <v>118</v>
      </c>
      <c r="C48" t="s">
        <v>119</v>
      </c>
      <c r="D48" t="s">
        <v>12</v>
      </c>
      <c r="E48" t="s">
        <v>120</v>
      </c>
      <c r="F48" s="4">
        <v>46135</v>
      </c>
      <c r="G48" t="s">
        <v>489</v>
      </c>
      <c r="H48" t="s">
        <v>179</v>
      </c>
      <c r="I48" t="s">
        <v>194</v>
      </c>
      <c r="J48" t="s">
        <v>181</v>
      </c>
      <c r="K48">
        <v>2</v>
      </c>
      <c r="L48">
        <v>2</v>
      </c>
      <c r="M48">
        <v>5598</v>
      </c>
      <c r="N48" t="s">
        <v>8</v>
      </c>
      <c r="O48">
        <v>4.9000000000000004</v>
      </c>
      <c r="P48" t="s">
        <v>9</v>
      </c>
    </row>
    <row r="49" spans="1:16" x14ac:dyDescent="0.3">
      <c r="A49">
        <v>47</v>
      </c>
      <c r="B49" t="s">
        <v>121</v>
      </c>
      <c r="C49" t="s">
        <v>122</v>
      </c>
      <c r="D49" t="s">
        <v>7</v>
      </c>
      <c r="E49" t="s">
        <v>501</v>
      </c>
      <c r="F49" s="4">
        <v>46136</v>
      </c>
      <c r="G49" t="s">
        <v>486</v>
      </c>
      <c r="H49" t="s">
        <v>182</v>
      </c>
      <c r="I49" t="s">
        <v>193</v>
      </c>
      <c r="J49" t="s">
        <v>191</v>
      </c>
      <c r="K49">
        <v>4</v>
      </c>
      <c r="L49">
        <v>4</v>
      </c>
      <c r="M49">
        <v>5596</v>
      </c>
      <c r="N49" t="s">
        <v>478</v>
      </c>
      <c r="O49">
        <v>4.0999999999999996</v>
      </c>
      <c r="P49" t="s">
        <v>9</v>
      </c>
    </row>
    <row r="50" spans="1:16" x14ac:dyDescent="0.3">
      <c r="A50">
        <v>48</v>
      </c>
      <c r="B50" t="s">
        <v>123</v>
      </c>
      <c r="C50" t="s">
        <v>124</v>
      </c>
      <c r="D50" t="s">
        <v>12</v>
      </c>
      <c r="E50" t="s">
        <v>645</v>
      </c>
      <c r="F50" s="4">
        <v>46136</v>
      </c>
      <c r="G50" t="s">
        <v>484</v>
      </c>
      <c r="H50" t="s">
        <v>185</v>
      </c>
      <c r="I50" t="s">
        <v>197</v>
      </c>
      <c r="J50" t="s">
        <v>181</v>
      </c>
      <c r="K50">
        <v>2</v>
      </c>
      <c r="L50">
        <v>2</v>
      </c>
      <c r="M50">
        <v>4398</v>
      </c>
      <c r="N50" t="s">
        <v>184</v>
      </c>
      <c r="O50">
        <v>4.8</v>
      </c>
      <c r="P50" t="s">
        <v>9</v>
      </c>
    </row>
    <row r="51" spans="1:16" x14ac:dyDescent="0.3">
      <c r="A51">
        <v>49</v>
      </c>
      <c r="B51" t="s">
        <v>125</v>
      </c>
      <c r="C51" t="s">
        <v>126</v>
      </c>
      <c r="D51" t="s">
        <v>7</v>
      </c>
      <c r="E51" t="s">
        <v>406</v>
      </c>
      <c r="F51" s="4">
        <v>46137</v>
      </c>
      <c r="G51" t="s">
        <v>488</v>
      </c>
      <c r="H51" t="s">
        <v>179</v>
      </c>
      <c r="I51" t="s">
        <v>198</v>
      </c>
      <c r="J51" t="s">
        <v>181</v>
      </c>
      <c r="K51">
        <v>7</v>
      </c>
      <c r="L51">
        <v>7</v>
      </c>
      <c r="M51">
        <v>4193</v>
      </c>
      <c r="N51" t="s">
        <v>8</v>
      </c>
      <c r="O51">
        <v>4.5</v>
      </c>
      <c r="P51" t="s">
        <v>9</v>
      </c>
    </row>
    <row r="52" spans="1:16" x14ac:dyDescent="0.3">
      <c r="A52">
        <v>50</v>
      </c>
      <c r="B52" t="s">
        <v>127</v>
      </c>
      <c r="C52" t="s">
        <v>128</v>
      </c>
      <c r="D52" t="s">
        <v>12</v>
      </c>
      <c r="E52" t="s">
        <v>646</v>
      </c>
      <c r="F52" s="4">
        <v>46137</v>
      </c>
      <c r="G52" t="s">
        <v>482</v>
      </c>
      <c r="H52" t="s">
        <v>185</v>
      </c>
      <c r="I52" t="s">
        <v>199</v>
      </c>
      <c r="J52" t="s">
        <v>181</v>
      </c>
      <c r="K52">
        <v>2</v>
      </c>
      <c r="L52">
        <v>2</v>
      </c>
      <c r="M52">
        <v>6998</v>
      </c>
      <c r="N52" t="s">
        <v>192</v>
      </c>
      <c r="O52">
        <v>4.9000000000000004</v>
      </c>
      <c r="P52" t="s">
        <v>9</v>
      </c>
    </row>
    <row r="53" spans="1:16" x14ac:dyDescent="0.3">
      <c r="A53">
        <v>51</v>
      </c>
      <c r="B53" t="s">
        <v>129</v>
      </c>
      <c r="C53" t="s">
        <v>130</v>
      </c>
      <c r="D53" t="s">
        <v>7</v>
      </c>
      <c r="E53" t="s">
        <v>647</v>
      </c>
      <c r="F53" s="4">
        <v>46138</v>
      </c>
      <c r="G53" t="s">
        <v>40</v>
      </c>
      <c r="H53" t="s">
        <v>179</v>
      </c>
      <c r="I53" t="s">
        <v>180</v>
      </c>
      <c r="J53" t="s">
        <v>187</v>
      </c>
      <c r="K53">
        <v>3</v>
      </c>
      <c r="L53">
        <v>3</v>
      </c>
      <c r="M53">
        <v>4797</v>
      </c>
      <c r="N53" t="s">
        <v>184</v>
      </c>
      <c r="O53">
        <v>4.2</v>
      </c>
      <c r="P53" t="s">
        <v>9</v>
      </c>
    </row>
    <row r="54" spans="1:16" x14ac:dyDescent="0.3">
      <c r="A54">
        <v>52</v>
      </c>
      <c r="B54" t="s">
        <v>131</v>
      </c>
      <c r="C54" t="s">
        <v>132</v>
      </c>
      <c r="D54" t="s">
        <v>12</v>
      </c>
      <c r="E54" t="s">
        <v>133</v>
      </c>
      <c r="F54" s="4">
        <v>46138</v>
      </c>
      <c r="G54" t="s">
        <v>487</v>
      </c>
      <c r="H54" t="s">
        <v>182</v>
      </c>
      <c r="I54" t="s">
        <v>186</v>
      </c>
      <c r="J54" t="s">
        <v>181</v>
      </c>
      <c r="K54">
        <v>5</v>
      </c>
      <c r="L54">
        <v>5</v>
      </c>
      <c r="M54">
        <v>5995</v>
      </c>
      <c r="N54" t="s">
        <v>8</v>
      </c>
      <c r="O54">
        <v>4.7</v>
      </c>
      <c r="P54" t="s">
        <v>9</v>
      </c>
    </row>
    <row r="55" spans="1:16" x14ac:dyDescent="0.3">
      <c r="A55">
        <v>53</v>
      </c>
      <c r="B55" t="s">
        <v>134</v>
      </c>
      <c r="C55" t="s">
        <v>135</v>
      </c>
      <c r="D55" t="s">
        <v>7</v>
      </c>
      <c r="E55" t="s">
        <v>648</v>
      </c>
      <c r="F55" s="4">
        <v>46139</v>
      </c>
      <c r="G55" t="s">
        <v>61</v>
      </c>
      <c r="H55" t="s">
        <v>200</v>
      </c>
      <c r="I55" t="s">
        <v>189</v>
      </c>
      <c r="J55" t="s">
        <v>181</v>
      </c>
      <c r="K55">
        <v>2</v>
      </c>
      <c r="L55">
        <v>2</v>
      </c>
      <c r="M55">
        <v>7998</v>
      </c>
      <c r="N55" t="s">
        <v>478</v>
      </c>
      <c r="O55">
        <v>4.8</v>
      </c>
      <c r="P55" t="s">
        <v>9</v>
      </c>
    </row>
    <row r="56" spans="1:16" x14ac:dyDescent="0.3">
      <c r="A56">
        <v>54</v>
      </c>
      <c r="B56" t="s">
        <v>136</v>
      </c>
      <c r="C56" t="s">
        <v>137</v>
      </c>
      <c r="D56" t="s">
        <v>12</v>
      </c>
      <c r="E56" t="s">
        <v>669</v>
      </c>
      <c r="F56" s="4">
        <v>46139</v>
      </c>
      <c r="G56" t="s">
        <v>490</v>
      </c>
      <c r="H56" t="s">
        <v>195</v>
      </c>
      <c r="I56" t="s">
        <v>190</v>
      </c>
      <c r="J56" t="s">
        <v>191</v>
      </c>
      <c r="K56">
        <v>4</v>
      </c>
      <c r="L56">
        <v>4</v>
      </c>
      <c r="M56">
        <v>5996</v>
      </c>
      <c r="N56" t="s">
        <v>192</v>
      </c>
      <c r="O56">
        <v>4</v>
      </c>
      <c r="P56" t="s">
        <v>9</v>
      </c>
    </row>
    <row r="57" spans="1:16" x14ac:dyDescent="0.3">
      <c r="A57">
        <v>55</v>
      </c>
      <c r="B57" t="s">
        <v>138</v>
      </c>
      <c r="C57" t="s">
        <v>139</v>
      </c>
      <c r="D57" t="s">
        <v>7</v>
      </c>
      <c r="E57" t="s">
        <v>649</v>
      </c>
      <c r="F57" s="4">
        <v>46140</v>
      </c>
      <c r="G57" t="s">
        <v>51</v>
      </c>
      <c r="H57" t="s">
        <v>185</v>
      </c>
      <c r="I57" t="s">
        <v>194</v>
      </c>
      <c r="J57" t="s">
        <v>181</v>
      </c>
      <c r="K57">
        <v>3</v>
      </c>
      <c r="L57">
        <v>3</v>
      </c>
      <c r="M57">
        <v>8997</v>
      </c>
      <c r="N57" t="s">
        <v>184</v>
      </c>
      <c r="O57">
        <v>4.9000000000000004</v>
      </c>
      <c r="P57" t="s">
        <v>9</v>
      </c>
    </row>
    <row r="58" spans="1:16" x14ac:dyDescent="0.3">
      <c r="A58">
        <v>56</v>
      </c>
      <c r="B58" t="s">
        <v>140</v>
      </c>
      <c r="C58" t="s">
        <v>141</v>
      </c>
      <c r="D58" t="s">
        <v>12</v>
      </c>
      <c r="E58" t="s">
        <v>500</v>
      </c>
      <c r="F58" s="4">
        <v>46140</v>
      </c>
      <c r="G58" t="s">
        <v>69</v>
      </c>
      <c r="H58" t="s">
        <v>182</v>
      </c>
      <c r="I58" t="s">
        <v>193</v>
      </c>
      <c r="J58" t="s">
        <v>181</v>
      </c>
      <c r="K58">
        <v>6</v>
      </c>
      <c r="L58">
        <v>6</v>
      </c>
      <c r="M58">
        <v>7794</v>
      </c>
      <c r="N58" t="s">
        <v>8</v>
      </c>
      <c r="O58">
        <v>4.8</v>
      </c>
      <c r="P58" t="s">
        <v>9</v>
      </c>
    </row>
    <row r="59" spans="1:16" x14ac:dyDescent="0.3">
      <c r="A59">
        <v>57</v>
      </c>
      <c r="B59" t="s">
        <v>142</v>
      </c>
      <c r="C59" t="s">
        <v>143</v>
      </c>
      <c r="D59" t="s">
        <v>7</v>
      </c>
      <c r="E59" t="s">
        <v>650</v>
      </c>
      <c r="F59" s="4">
        <v>46141</v>
      </c>
      <c r="G59" t="s">
        <v>509</v>
      </c>
      <c r="H59" t="s">
        <v>179</v>
      </c>
      <c r="I59" t="s">
        <v>197</v>
      </c>
      <c r="J59" t="s">
        <v>181</v>
      </c>
      <c r="K59">
        <v>4</v>
      </c>
      <c r="L59">
        <v>4</v>
      </c>
      <c r="M59">
        <v>4396</v>
      </c>
      <c r="N59" t="s">
        <v>478</v>
      </c>
      <c r="O59">
        <v>4.4000000000000004</v>
      </c>
      <c r="P59" t="s">
        <v>9</v>
      </c>
    </row>
    <row r="60" spans="1:16" x14ac:dyDescent="0.3">
      <c r="A60">
        <v>58</v>
      </c>
      <c r="B60" t="s">
        <v>144</v>
      </c>
      <c r="C60" t="s">
        <v>145</v>
      </c>
      <c r="D60" t="s">
        <v>12</v>
      </c>
      <c r="E60" t="s">
        <v>651</v>
      </c>
      <c r="F60" s="4">
        <v>46141</v>
      </c>
      <c r="G60" t="s">
        <v>28</v>
      </c>
      <c r="H60" t="s">
        <v>185</v>
      </c>
      <c r="I60" t="s">
        <v>198</v>
      </c>
      <c r="J60" t="s">
        <v>187</v>
      </c>
      <c r="K60">
        <v>3</v>
      </c>
      <c r="L60">
        <v>3</v>
      </c>
      <c r="M60">
        <v>5997</v>
      </c>
      <c r="N60" t="s">
        <v>184</v>
      </c>
      <c r="O60">
        <v>4.5</v>
      </c>
      <c r="P60" t="s">
        <v>9</v>
      </c>
    </row>
    <row r="61" spans="1:16" x14ac:dyDescent="0.3">
      <c r="A61">
        <v>61</v>
      </c>
      <c r="B61" t="s">
        <v>150</v>
      </c>
      <c r="C61" t="s">
        <v>151</v>
      </c>
      <c r="D61" t="s">
        <v>7</v>
      </c>
      <c r="E61" t="s">
        <v>652</v>
      </c>
      <c r="F61" s="4">
        <v>46142</v>
      </c>
      <c r="G61" t="s">
        <v>486</v>
      </c>
      <c r="H61" t="s">
        <v>179</v>
      </c>
      <c r="I61" t="s">
        <v>180</v>
      </c>
      <c r="J61" t="s">
        <v>181</v>
      </c>
      <c r="K61">
        <v>3</v>
      </c>
      <c r="L61">
        <v>3</v>
      </c>
      <c r="M61">
        <v>4197</v>
      </c>
      <c r="N61" t="s">
        <v>8</v>
      </c>
      <c r="O61">
        <v>4.5</v>
      </c>
      <c r="P61" t="s">
        <v>9</v>
      </c>
    </row>
    <row r="62" spans="1:16" x14ac:dyDescent="0.3">
      <c r="A62">
        <v>62</v>
      </c>
      <c r="B62" t="s">
        <v>152</v>
      </c>
      <c r="C62" t="s">
        <v>153</v>
      </c>
      <c r="D62" t="s">
        <v>12</v>
      </c>
      <c r="E62" t="s">
        <v>653</v>
      </c>
      <c r="F62" s="4">
        <v>46142</v>
      </c>
      <c r="G62" t="s">
        <v>69</v>
      </c>
      <c r="H62" t="s">
        <v>182</v>
      </c>
      <c r="I62" t="s">
        <v>197</v>
      </c>
      <c r="J62" t="s">
        <v>181</v>
      </c>
      <c r="K62">
        <v>2</v>
      </c>
      <c r="L62">
        <v>2</v>
      </c>
      <c r="M62">
        <v>2598</v>
      </c>
      <c r="N62" t="s">
        <v>184</v>
      </c>
      <c r="O62">
        <v>4.8</v>
      </c>
      <c r="P62" t="s">
        <v>9</v>
      </c>
    </row>
    <row r="63" spans="1:16" x14ac:dyDescent="0.3">
      <c r="A63">
        <v>63</v>
      </c>
      <c r="B63" t="s">
        <v>154</v>
      </c>
      <c r="C63" t="s">
        <v>155</v>
      </c>
      <c r="D63" t="s">
        <v>7</v>
      </c>
      <c r="E63" t="s">
        <v>654</v>
      </c>
      <c r="F63" s="4">
        <v>46143</v>
      </c>
      <c r="G63" t="s">
        <v>35</v>
      </c>
      <c r="H63" t="s">
        <v>185</v>
      </c>
      <c r="I63" t="s">
        <v>194</v>
      </c>
      <c r="J63" t="s">
        <v>187</v>
      </c>
      <c r="K63">
        <v>2</v>
      </c>
      <c r="L63">
        <v>2</v>
      </c>
      <c r="M63">
        <v>3798</v>
      </c>
      <c r="N63" t="s">
        <v>478</v>
      </c>
      <c r="O63">
        <v>4.2</v>
      </c>
      <c r="P63" t="s">
        <v>9</v>
      </c>
    </row>
    <row r="64" spans="1:16" x14ac:dyDescent="0.3">
      <c r="A64">
        <v>64</v>
      </c>
      <c r="B64" t="s">
        <v>156</v>
      </c>
      <c r="C64" t="s">
        <v>157</v>
      </c>
      <c r="D64" t="s">
        <v>12</v>
      </c>
      <c r="E64" t="s">
        <v>655</v>
      </c>
      <c r="F64" s="4">
        <v>46143</v>
      </c>
      <c r="G64" t="s">
        <v>489</v>
      </c>
      <c r="H64" t="s">
        <v>179</v>
      </c>
      <c r="I64" t="s">
        <v>193</v>
      </c>
      <c r="J64" t="s">
        <v>181</v>
      </c>
      <c r="K64">
        <v>1</v>
      </c>
      <c r="L64">
        <v>1</v>
      </c>
      <c r="M64">
        <v>2799</v>
      </c>
      <c r="N64" t="s">
        <v>8</v>
      </c>
      <c r="O64">
        <v>4.7</v>
      </c>
      <c r="P64" t="s">
        <v>9</v>
      </c>
    </row>
    <row r="65" spans="1:16" x14ac:dyDescent="0.3">
      <c r="A65">
        <v>65</v>
      </c>
      <c r="B65" t="s">
        <v>158</v>
      </c>
      <c r="C65" t="s">
        <v>159</v>
      </c>
      <c r="D65" t="s">
        <v>7</v>
      </c>
      <c r="E65" t="s">
        <v>656</v>
      </c>
      <c r="F65" s="4">
        <v>46144</v>
      </c>
      <c r="G65" t="s">
        <v>28</v>
      </c>
      <c r="H65" t="s">
        <v>185</v>
      </c>
      <c r="I65" t="s">
        <v>189</v>
      </c>
      <c r="J65" t="s">
        <v>191</v>
      </c>
      <c r="K65">
        <v>2</v>
      </c>
      <c r="L65">
        <v>2</v>
      </c>
      <c r="M65">
        <v>3998</v>
      </c>
      <c r="N65" t="s">
        <v>192</v>
      </c>
      <c r="O65">
        <v>4.0999999999999996</v>
      </c>
      <c r="P65" t="s">
        <v>9</v>
      </c>
    </row>
    <row r="66" spans="1:16" x14ac:dyDescent="0.3">
      <c r="A66">
        <v>66</v>
      </c>
      <c r="B66" t="s">
        <v>160</v>
      </c>
      <c r="C66" t="s">
        <v>161</v>
      </c>
      <c r="D66" t="s">
        <v>12</v>
      </c>
      <c r="E66" t="s">
        <v>657</v>
      </c>
      <c r="F66" s="4">
        <v>46144</v>
      </c>
      <c r="G66" t="s">
        <v>54</v>
      </c>
      <c r="H66" t="s">
        <v>494</v>
      </c>
      <c r="I66" t="s">
        <v>199</v>
      </c>
      <c r="J66" t="s">
        <v>181</v>
      </c>
      <c r="K66">
        <v>1</v>
      </c>
      <c r="L66">
        <v>1</v>
      </c>
      <c r="M66">
        <v>4999</v>
      </c>
      <c r="N66" t="s">
        <v>184</v>
      </c>
      <c r="O66">
        <v>4.9000000000000004</v>
      </c>
      <c r="P66" t="s">
        <v>9</v>
      </c>
    </row>
    <row r="67" spans="1:16" x14ac:dyDescent="0.3">
      <c r="A67">
        <v>67</v>
      </c>
      <c r="B67" t="s">
        <v>162</v>
      </c>
      <c r="C67" t="s">
        <v>163</v>
      </c>
      <c r="D67" t="s">
        <v>7</v>
      </c>
      <c r="E67" t="s">
        <v>658</v>
      </c>
      <c r="F67" s="4">
        <v>46145</v>
      </c>
      <c r="G67" t="s">
        <v>477</v>
      </c>
      <c r="H67" t="s">
        <v>182</v>
      </c>
      <c r="I67" t="s">
        <v>186</v>
      </c>
      <c r="J67" t="s">
        <v>181</v>
      </c>
      <c r="K67">
        <v>5</v>
      </c>
      <c r="L67">
        <v>5</v>
      </c>
      <c r="M67">
        <v>3995</v>
      </c>
      <c r="N67" t="s">
        <v>8</v>
      </c>
      <c r="O67">
        <v>4.4000000000000004</v>
      </c>
      <c r="P67" t="s">
        <v>9</v>
      </c>
    </row>
    <row r="68" spans="1:16" x14ac:dyDescent="0.3">
      <c r="A68">
        <v>68</v>
      </c>
      <c r="B68" t="s">
        <v>164</v>
      </c>
      <c r="C68" t="s">
        <v>165</v>
      </c>
      <c r="D68" t="s">
        <v>12</v>
      </c>
      <c r="E68" t="s">
        <v>659</v>
      </c>
      <c r="F68" s="4">
        <v>46145</v>
      </c>
      <c r="G68" t="s">
        <v>487</v>
      </c>
      <c r="H68" t="s">
        <v>179</v>
      </c>
      <c r="I68" t="s">
        <v>190</v>
      </c>
      <c r="J68" t="s">
        <v>187</v>
      </c>
      <c r="K68">
        <v>3</v>
      </c>
      <c r="L68">
        <v>3</v>
      </c>
      <c r="M68">
        <v>3597</v>
      </c>
      <c r="N68" t="s">
        <v>478</v>
      </c>
      <c r="O68">
        <v>4.5999999999999996</v>
      </c>
      <c r="P68" t="s">
        <v>9</v>
      </c>
    </row>
    <row r="69" spans="1:16" x14ac:dyDescent="0.3">
      <c r="A69">
        <v>69</v>
      </c>
      <c r="B69" t="s">
        <v>166</v>
      </c>
      <c r="C69" t="s">
        <v>167</v>
      </c>
      <c r="D69" t="s">
        <v>7</v>
      </c>
      <c r="E69" t="s">
        <v>660</v>
      </c>
      <c r="F69" s="4">
        <v>46146</v>
      </c>
      <c r="G69" t="s">
        <v>51</v>
      </c>
      <c r="H69" t="s">
        <v>200</v>
      </c>
      <c r="I69" t="s">
        <v>183</v>
      </c>
      <c r="J69" t="s">
        <v>181</v>
      </c>
      <c r="K69">
        <v>2</v>
      </c>
      <c r="L69">
        <v>2</v>
      </c>
      <c r="M69">
        <v>5998</v>
      </c>
      <c r="N69" t="s">
        <v>184</v>
      </c>
      <c r="O69">
        <v>4.8</v>
      </c>
      <c r="P69" t="s">
        <v>9</v>
      </c>
    </row>
    <row r="70" spans="1:16" x14ac:dyDescent="0.3">
      <c r="A70">
        <v>70</v>
      </c>
      <c r="B70" t="s">
        <v>168</v>
      </c>
      <c r="C70" t="s">
        <v>169</v>
      </c>
      <c r="D70" t="s">
        <v>12</v>
      </c>
      <c r="E70" t="s">
        <v>661</v>
      </c>
      <c r="F70" s="4">
        <v>46146</v>
      </c>
      <c r="G70" t="s">
        <v>484</v>
      </c>
      <c r="H70" t="s">
        <v>182</v>
      </c>
      <c r="I70" t="s">
        <v>198</v>
      </c>
      <c r="J70" t="s">
        <v>181</v>
      </c>
      <c r="K70">
        <v>2</v>
      </c>
      <c r="L70">
        <v>2</v>
      </c>
      <c r="M70">
        <v>4398</v>
      </c>
      <c r="N70" t="s">
        <v>8</v>
      </c>
      <c r="O70">
        <v>4.7</v>
      </c>
      <c r="P70" t="s">
        <v>9</v>
      </c>
    </row>
    <row r="71" spans="1:16" x14ac:dyDescent="0.3">
      <c r="A71" s="5">
        <v>71</v>
      </c>
      <c r="B71" t="s">
        <v>201</v>
      </c>
      <c r="C71" t="s">
        <v>202</v>
      </c>
      <c r="D71" t="s">
        <v>12</v>
      </c>
      <c r="E71" t="s">
        <v>491</v>
      </c>
      <c r="F71" s="4">
        <v>46147</v>
      </c>
      <c r="G71" t="s">
        <v>69</v>
      </c>
      <c r="H71" t="s">
        <v>182</v>
      </c>
      <c r="I71" t="s">
        <v>180</v>
      </c>
      <c r="J71" t="s">
        <v>181</v>
      </c>
      <c r="K71">
        <v>4</v>
      </c>
      <c r="L71">
        <v>4</v>
      </c>
      <c r="M71">
        <v>5196</v>
      </c>
      <c r="N71" t="s">
        <v>8</v>
      </c>
      <c r="O71">
        <v>4.8</v>
      </c>
      <c r="P71" t="s">
        <v>9</v>
      </c>
    </row>
    <row r="72" spans="1:16" x14ac:dyDescent="0.3">
      <c r="A72" s="5">
        <v>72</v>
      </c>
      <c r="B72" t="s">
        <v>203</v>
      </c>
      <c r="C72" t="s">
        <v>204</v>
      </c>
      <c r="D72" t="s">
        <v>7</v>
      </c>
      <c r="E72" t="s">
        <v>492</v>
      </c>
      <c r="F72" s="4">
        <v>46147</v>
      </c>
      <c r="G72" t="s">
        <v>479</v>
      </c>
      <c r="H72" t="s">
        <v>185</v>
      </c>
      <c r="I72" t="s">
        <v>189</v>
      </c>
      <c r="J72" t="s">
        <v>181</v>
      </c>
      <c r="K72">
        <v>2</v>
      </c>
      <c r="L72">
        <v>2</v>
      </c>
      <c r="M72">
        <v>3598</v>
      </c>
      <c r="N72" t="s">
        <v>184</v>
      </c>
      <c r="O72">
        <v>4.5</v>
      </c>
      <c r="P72" t="s">
        <v>9</v>
      </c>
    </row>
    <row r="73" spans="1:16" x14ac:dyDescent="0.3">
      <c r="A73" s="5">
        <v>73</v>
      </c>
      <c r="B73" t="s">
        <v>205</v>
      </c>
      <c r="C73" t="s">
        <v>206</v>
      </c>
      <c r="D73" t="s">
        <v>12</v>
      </c>
      <c r="E73" t="s">
        <v>493</v>
      </c>
      <c r="F73" s="4">
        <v>46148</v>
      </c>
      <c r="G73" t="s">
        <v>54</v>
      </c>
      <c r="H73" t="s">
        <v>494</v>
      </c>
      <c r="I73" t="s">
        <v>186</v>
      </c>
      <c r="J73" t="s">
        <v>181</v>
      </c>
      <c r="K73">
        <v>1</v>
      </c>
      <c r="L73">
        <v>1</v>
      </c>
      <c r="M73">
        <v>4999</v>
      </c>
      <c r="N73" t="s">
        <v>478</v>
      </c>
      <c r="O73">
        <v>4.9000000000000004</v>
      </c>
      <c r="P73" t="s">
        <v>9</v>
      </c>
    </row>
    <row r="74" spans="1:16" x14ac:dyDescent="0.3">
      <c r="A74" s="5">
        <v>74</v>
      </c>
      <c r="B74" t="s">
        <v>207</v>
      </c>
      <c r="C74" t="s">
        <v>208</v>
      </c>
      <c r="D74" t="s">
        <v>7</v>
      </c>
      <c r="E74" t="s">
        <v>495</v>
      </c>
      <c r="F74" s="4">
        <v>46148</v>
      </c>
      <c r="G74" t="s">
        <v>488</v>
      </c>
      <c r="H74" t="s">
        <v>179</v>
      </c>
      <c r="I74" t="s">
        <v>190</v>
      </c>
      <c r="J74" t="s">
        <v>187</v>
      </c>
      <c r="K74">
        <v>5</v>
      </c>
      <c r="L74">
        <v>5</v>
      </c>
      <c r="M74">
        <v>2995</v>
      </c>
      <c r="N74" t="s">
        <v>8</v>
      </c>
      <c r="O74">
        <v>4.2</v>
      </c>
      <c r="P74" t="s">
        <v>9</v>
      </c>
    </row>
    <row r="75" spans="1:16" x14ac:dyDescent="0.3">
      <c r="A75" s="5">
        <v>75</v>
      </c>
      <c r="B75" t="s">
        <v>209</v>
      </c>
      <c r="C75" t="s">
        <v>210</v>
      </c>
      <c r="D75" t="s">
        <v>12</v>
      </c>
      <c r="E75" t="s">
        <v>496</v>
      </c>
      <c r="F75" s="4">
        <v>46149</v>
      </c>
      <c r="G75" t="s">
        <v>489</v>
      </c>
      <c r="H75" t="s">
        <v>182</v>
      </c>
      <c r="I75" t="s">
        <v>194</v>
      </c>
      <c r="J75" t="s">
        <v>181</v>
      </c>
      <c r="K75">
        <v>2</v>
      </c>
      <c r="L75">
        <v>2</v>
      </c>
      <c r="M75">
        <v>5598</v>
      </c>
      <c r="N75" t="s">
        <v>184</v>
      </c>
      <c r="O75">
        <v>4.7</v>
      </c>
      <c r="P75" t="s">
        <v>9</v>
      </c>
    </row>
    <row r="76" spans="1:16" x14ac:dyDescent="0.3">
      <c r="A76" s="5">
        <v>76</v>
      </c>
      <c r="B76" t="s">
        <v>211</v>
      </c>
      <c r="C76" t="s">
        <v>212</v>
      </c>
      <c r="D76" t="s">
        <v>7</v>
      </c>
      <c r="E76" t="s">
        <v>497</v>
      </c>
      <c r="F76" s="4">
        <v>46149</v>
      </c>
      <c r="G76" t="s">
        <v>28</v>
      </c>
      <c r="H76" t="s">
        <v>185</v>
      </c>
      <c r="I76" t="s">
        <v>193</v>
      </c>
      <c r="J76" t="s">
        <v>191</v>
      </c>
      <c r="K76">
        <v>3</v>
      </c>
      <c r="L76">
        <v>3</v>
      </c>
      <c r="M76">
        <v>5997</v>
      </c>
      <c r="N76" t="s">
        <v>192</v>
      </c>
      <c r="O76">
        <v>4.0999999999999996</v>
      </c>
      <c r="P76" t="s">
        <v>9</v>
      </c>
    </row>
    <row r="77" spans="1:16" x14ac:dyDescent="0.3">
      <c r="A77" s="5">
        <v>77</v>
      </c>
      <c r="B77" t="s">
        <v>213</v>
      </c>
      <c r="C77" t="s">
        <v>214</v>
      </c>
      <c r="D77" t="s">
        <v>12</v>
      </c>
      <c r="E77" t="s">
        <v>498</v>
      </c>
      <c r="F77" s="4">
        <v>46150</v>
      </c>
      <c r="G77" t="s">
        <v>483</v>
      </c>
      <c r="H77" t="s">
        <v>195</v>
      </c>
      <c r="I77" t="s">
        <v>197</v>
      </c>
      <c r="J77" t="s">
        <v>181</v>
      </c>
      <c r="K77">
        <v>6</v>
      </c>
      <c r="L77">
        <v>6</v>
      </c>
      <c r="M77">
        <v>4194</v>
      </c>
      <c r="N77" t="s">
        <v>8</v>
      </c>
      <c r="O77">
        <v>4.4000000000000004</v>
      </c>
      <c r="P77" t="s">
        <v>9</v>
      </c>
    </row>
    <row r="78" spans="1:16" x14ac:dyDescent="0.3">
      <c r="A78" s="5">
        <v>78</v>
      </c>
      <c r="B78" t="s">
        <v>215</v>
      </c>
      <c r="C78" t="s">
        <v>216</v>
      </c>
      <c r="D78" t="s">
        <v>7</v>
      </c>
      <c r="E78" t="s">
        <v>499</v>
      </c>
      <c r="F78" s="4">
        <v>46150</v>
      </c>
      <c r="G78" t="s">
        <v>35</v>
      </c>
      <c r="H78" t="s">
        <v>179</v>
      </c>
      <c r="I78" t="s">
        <v>199</v>
      </c>
      <c r="J78" t="s">
        <v>181</v>
      </c>
      <c r="K78">
        <v>3</v>
      </c>
      <c r="L78">
        <v>3</v>
      </c>
      <c r="M78">
        <v>5697</v>
      </c>
      <c r="N78" t="s">
        <v>184</v>
      </c>
      <c r="O78">
        <v>4.5999999999999996</v>
      </c>
      <c r="P78" t="s">
        <v>9</v>
      </c>
    </row>
    <row r="79" spans="1:16" x14ac:dyDescent="0.3">
      <c r="A79" s="5">
        <v>79</v>
      </c>
      <c r="B79" t="s">
        <v>217</v>
      </c>
      <c r="C79" t="s">
        <v>218</v>
      </c>
      <c r="D79" t="s">
        <v>12</v>
      </c>
      <c r="E79" t="s">
        <v>500</v>
      </c>
      <c r="F79" s="4">
        <v>46151</v>
      </c>
      <c r="G79" t="s">
        <v>487</v>
      </c>
      <c r="H79" t="s">
        <v>182</v>
      </c>
      <c r="I79" t="s">
        <v>183</v>
      </c>
      <c r="J79" t="s">
        <v>181</v>
      </c>
      <c r="K79">
        <v>4</v>
      </c>
      <c r="L79">
        <v>4</v>
      </c>
      <c r="M79">
        <v>4796</v>
      </c>
      <c r="N79" t="s">
        <v>478</v>
      </c>
      <c r="O79">
        <v>4.7</v>
      </c>
      <c r="P79" t="s">
        <v>9</v>
      </c>
    </row>
    <row r="80" spans="1:16" x14ac:dyDescent="0.3">
      <c r="A80" s="5">
        <v>80</v>
      </c>
      <c r="B80" t="s">
        <v>219</v>
      </c>
      <c r="C80" t="s">
        <v>220</v>
      </c>
      <c r="D80" t="s">
        <v>7</v>
      </c>
      <c r="E80" t="s">
        <v>501</v>
      </c>
      <c r="F80" s="4">
        <v>46151</v>
      </c>
      <c r="G80" t="s">
        <v>486</v>
      </c>
      <c r="H80" t="s">
        <v>185</v>
      </c>
      <c r="I80" t="s">
        <v>180</v>
      </c>
      <c r="J80" t="s">
        <v>187</v>
      </c>
      <c r="K80">
        <v>3</v>
      </c>
      <c r="L80">
        <v>3</v>
      </c>
      <c r="M80">
        <v>4197</v>
      </c>
      <c r="N80" t="s">
        <v>8</v>
      </c>
      <c r="O80">
        <v>4.3</v>
      </c>
      <c r="P80" t="s">
        <v>9</v>
      </c>
    </row>
    <row r="81" spans="1:16" x14ac:dyDescent="0.3">
      <c r="A81" s="5">
        <v>81</v>
      </c>
      <c r="B81" t="s">
        <v>221</v>
      </c>
      <c r="C81" t="s">
        <v>222</v>
      </c>
      <c r="D81" t="s">
        <v>12</v>
      </c>
      <c r="E81" t="s">
        <v>223</v>
      </c>
      <c r="F81" s="4">
        <v>46152</v>
      </c>
      <c r="G81" t="s">
        <v>482</v>
      </c>
      <c r="H81" t="s">
        <v>185</v>
      </c>
      <c r="I81" t="s">
        <v>189</v>
      </c>
      <c r="J81" t="s">
        <v>181</v>
      </c>
      <c r="K81">
        <v>2</v>
      </c>
      <c r="L81">
        <v>2</v>
      </c>
      <c r="M81">
        <v>6998</v>
      </c>
      <c r="N81" t="s">
        <v>184</v>
      </c>
      <c r="O81">
        <v>4.9000000000000004</v>
      </c>
      <c r="P81" t="s">
        <v>9</v>
      </c>
    </row>
    <row r="82" spans="1:16" x14ac:dyDescent="0.3">
      <c r="A82" s="5">
        <v>82</v>
      </c>
      <c r="B82" t="s">
        <v>224</v>
      </c>
      <c r="C82" t="s">
        <v>225</v>
      </c>
      <c r="D82" t="s">
        <v>7</v>
      </c>
      <c r="E82" t="s">
        <v>502</v>
      </c>
      <c r="F82" s="4">
        <v>46152</v>
      </c>
      <c r="G82" t="s">
        <v>477</v>
      </c>
      <c r="H82" t="s">
        <v>182</v>
      </c>
      <c r="I82" t="s">
        <v>186</v>
      </c>
      <c r="J82" t="s">
        <v>181</v>
      </c>
      <c r="K82">
        <v>7</v>
      </c>
      <c r="L82">
        <v>7</v>
      </c>
      <c r="M82">
        <v>5593</v>
      </c>
      <c r="N82" t="s">
        <v>8</v>
      </c>
      <c r="O82">
        <v>4.5</v>
      </c>
      <c r="P82" t="s">
        <v>9</v>
      </c>
    </row>
    <row r="83" spans="1:16" x14ac:dyDescent="0.3">
      <c r="A83" s="5">
        <v>83</v>
      </c>
      <c r="B83" t="s">
        <v>226</v>
      </c>
      <c r="C83" t="s">
        <v>227</v>
      </c>
      <c r="D83" t="s">
        <v>12</v>
      </c>
      <c r="E83" t="s">
        <v>503</v>
      </c>
      <c r="F83" s="4">
        <v>46153</v>
      </c>
      <c r="G83" t="s">
        <v>484</v>
      </c>
      <c r="H83" t="s">
        <v>179</v>
      </c>
      <c r="I83" t="s">
        <v>190</v>
      </c>
      <c r="J83" t="s">
        <v>181</v>
      </c>
      <c r="K83">
        <v>2</v>
      </c>
      <c r="L83">
        <v>2</v>
      </c>
      <c r="M83">
        <v>4398</v>
      </c>
      <c r="N83" t="s">
        <v>478</v>
      </c>
      <c r="O83">
        <v>4.8</v>
      </c>
      <c r="P83" t="s">
        <v>9</v>
      </c>
    </row>
    <row r="84" spans="1:16" x14ac:dyDescent="0.3">
      <c r="A84" s="5">
        <v>84</v>
      </c>
      <c r="B84" t="s">
        <v>228</v>
      </c>
      <c r="C84" t="s">
        <v>229</v>
      </c>
      <c r="D84" t="s">
        <v>7</v>
      </c>
      <c r="E84" t="s">
        <v>504</v>
      </c>
      <c r="F84" s="4">
        <v>46153</v>
      </c>
      <c r="G84" t="s">
        <v>51</v>
      </c>
      <c r="H84" t="s">
        <v>200</v>
      </c>
      <c r="I84" t="s">
        <v>194</v>
      </c>
      <c r="J84" t="s">
        <v>181</v>
      </c>
      <c r="K84">
        <v>2</v>
      </c>
      <c r="L84">
        <v>2</v>
      </c>
      <c r="M84">
        <v>5998</v>
      </c>
      <c r="N84" t="s">
        <v>184</v>
      </c>
      <c r="O84">
        <v>4.9000000000000004</v>
      </c>
      <c r="P84" t="s">
        <v>9</v>
      </c>
    </row>
    <row r="85" spans="1:16" x14ac:dyDescent="0.3">
      <c r="A85" s="5">
        <v>85</v>
      </c>
      <c r="B85" t="s">
        <v>230</v>
      </c>
      <c r="C85" t="s">
        <v>231</v>
      </c>
      <c r="D85" t="s">
        <v>12</v>
      </c>
      <c r="E85" t="s">
        <v>133</v>
      </c>
      <c r="F85" s="4">
        <v>46154</v>
      </c>
      <c r="G85" t="s">
        <v>490</v>
      </c>
      <c r="H85" t="s">
        <v>195</v>
      </c>
      <c r="I85" t="s">
        <v>193</v>
      </c>
      <c r="J85" t="s">
        <v>191</v>
      </c>
      <c r="K85">
        <v>5</v>
      </c>
      <c r="L85">
        <v>5</v>
      </c>
      <c r="M85">
        <v>7495</v>
      </c>
      <c r="N85" t="s">
        <v>192</v>
      </c>
      <c r="O85">
        <v>3.9</v>
      </c>
      <c r="P85" t="s">
        <v>9</v>
      </c>
    </row>
    <row r="86" spans="1:16" x14ac:dyDescent="0.3">
      <c r="A86" s="5">
        <v>86</v>
      </c>
      <c r="B86" t="s">
        <v>232</v>
      </c>
      <c r="C86" t="s">
        <v>233</v>
      </c>
      <c r="D86" t="s">
        <v>7</v>
      </c>
      <c r="E86" t="s">
        <v>485</v>
      </c>
      <c r="F86" s="4">
        <v>46154</v>
      </c>
      <c r="G86" t="s">
        <v>481</v>
      </c>
      <c r="H86" t="s">
        <v>179</v>
      </c>
      <c r="I86" t="s">
        <v>197</v>
      </c>
      <c r="J86" t="s">
        <v>181</v>
      </c>
      <c r="K86">
        <v>4</v>
      </c>
      <c r="L86">
        <v>4</v>
      </c>
      <c r="M86">
        <v>3996</v>
      </c>
      <c r="N86" t="s">
        <v>8</v>
      </c>
      <c r="O86">
        <v>4.4000000000000004</v>
      </c>
      <c r="P86" t="s">
        <v>9</v>
      </c>
    </row>
    <row r="87" spans="1:16" x14ac:dyDescent="0.3">
      <c r="A87" s="5">
        <v>87</v>
      </c>
      <c r="B87" t="s">
        <v>234</v>
      </c>
      <c r="C87" t="s">
        <v>235</v>
      </c>
      <c r="D87" t="s">
        <v>12</v>
      </c>
      <c r="E87" t="s">
        <v>505</v>
      </c>
      <c r="F87" s="4">
        <v>46155</v>
      </c>
      <c r="G87" t="s">
        <v>69</v>
      </c>
      <c r="H87" t="s">
        <v>185</v>
      </c>
      <c r="I87" t="s">
        <v>199</v>
      </c>
      <c r="J87" t="s">
        <v>181</v>
      </c>
      <c r="K87">
        <v>3</v>
      </c>
      <c r="L87">
        <v>3</v>
      </c>
      <c r="M87">
        <v>3897</v>
      </c>
      <c r="N87" t="s">
        <v>184</v>
      </c>
      <c r="O87">
        <v>4.5999999999999996</v>
      </c>
      <c r="P87" t="s">
        <v>9</v>
      </c>
    </row>
    <row r="88" spans="1:16" x14ac:dyDescent="0.3">
      <c r="A88" s="5">
        <v>88</v>
      </c>
      <c r="B88" t="s">
        <v>236</v>
      </c>
      <c r="C88" t="s">
        <v>237</v>
      </c>
      <c r="D88" t="s">
        <v>7</v>
      </c>
      <c r="E88" t="s">
        <v>506</v>
      </c>
      <c r="F88" s="4">
        <v>46155</v>
      </c>
      <c r="G88" t="s">
        <v>61</v>
      </c>
      <c r="H88" t="s">
        <v>200</v>
      </c>
      <c r="I88" t="s">
        <v>183</v>
      </c>
      <c r="J88" t="s">
        <v>187</v>
      </c>
      <c r="K88">
        <v>1</v>
      </c>
      <c r="L88">
        <v>1</v>
      </c>
      <c r="M88">
        <v>3999</v>
      </c>
      <c r="N88" t="s">
        <v>478</v>
      </c>
      <c r="O88">
        <v>4.2</v>
      </c>
      <c r="P88" t="s">
        <v>9</v>
      </c>
    </row>
    <row r="89" spans="1:16" x14ac:dyDescent="0.3">
      <c r="A89" s="5">
        <v>89</v>
      </c>
      <c r="B89" t="s">
        <v>238</v>
      </c>
      <c r="C89" t="s">
        <v>239</v>
      </c>
      <c r="D89" t="s">
        <v>12</v>
      </c>
      <c r="E89" t="s">
        <v>507</v>
      </c>
      <c r="F89" s="4">
        <v>46156</v>
      </c>
      <c r="G89" t="s">
        <v>54</v>
      </c>
      <c r="H89" t="s">
        <v>494</v>
      </c>
      <c r="I89" t="s">
        <v>180</v>
      </c>
      <c r="J89" t="s">
        <v>181</v>
      </c>
      <c r="K89">
        <v>2</v>
      </c>
      <c r="L89">
        <v>2</v>
      </c>
      <c r="M89">
        <v>9998</v>
      </c>
      <c r="N89" t="s">
        <v>8</v>
      </c>
      <c r="O89">
        <v>4.9000000000000004</v>
      </c>
      <c r="P89" t="s">
        <v>9</v>
      </c>
    </row>
    <row r="90" spans="1:16" x14ac:dyDescent="0.3">
      <c r="A90" s="5">
        <v>90</v>
      </c>
      <c r="B90" t="s">
        <v>240</v>
      </c>
      <c r="C90" t="s">
        <v>241</v>
      </c>
      <c r="D90" t="s">
        <v>7</v>
      </c>
      <c r="E90" t="s">
        <v>508</v>
      </c>
      <c r="F90" s="4">
        <v>46156</v>
      </c>
      <c r="G90" t="s">
        <v>509</v>
      </c>
      <c r="H90" t="s">
        <v>182</v>
      </c>
      <c r="I90" t="s">
        <v>189</v>
      </c>
      <c r="J90" t="s">
        <v>181</v>
      </c>
      <c r="K90">
        <v>5</v>
      </c>
      <c r="L90">
        <v>5</v>
      </c>
      <c r="M90">
        <v>5495</v>
      </c>
      <c r="N90" t="s">
        <v>184</v>
      </c>
      <c r="O90">
        <v>4.5</v>
      </c>
      <c r="P90" t="s">
        <v>9</v>
      </c>
    </row>
    <row r="91" spans="1:16" x14ac:dyDescent="0.3">
      <c r="A91" s="5">
        <v>91</v>
      </c>
      <c r="B91" t="s">
        <v>242</v>
      </c>
      <c r="C91" t="s">
        <v>243</v>
      </c>
      <c r="D91" t="s">
        <v>12</v>
      </c>
      <c r="E91" t="s">
        <v>510</v>
      </c>
      <c r="F91" s="4">
        <v>46157</v>
      </c>
      <c r="G91" t="s">
        <v>69</v>
      </c>
      <c r="H91" t="s">
        <v>179</v>
      </c>
      <c r="I91" t="s">
        <v>180</v>
      </c>
      <c r="J91" t="s">
        <v>181</v>
      </c>
      <c r="K91">
        <v>4</v>
      </c>
      <c r="L91">
        <v>4</v>
      </c>
      <c r="M91">
        <v>5196</v>
      </c>
      <c r="N91" t="s">
        <v>8</v>
      </c>
      <c r="O91">
        <v>4.8</v>
      </c>
      <c r="P91" t="s">
        <v>9</v>
      </c>
    </row>
    <row r="92" spans="1:16" x14ac:dyDescent="0.3">
      <c r="A92" s="5">
        <v>92</v>
      </c>
      <c r="B92" t="s">
        <v>244</v>
      </c>
      <c r="C92" t="s">
        <v>245</v>
      </c>
      <c r="D92" t="s">
        <v>7</v>
      </c>
      <c r="E92" t="s">
        <v>511</v>
      </c>
      <c r="F92" s="4">
        <v>46157</v>
      </c>
      <c r="G92" t="s">
        <v>35</v>
      </c>
      <c r="H92" t="s">
        <v>185</v>
      </c>
      <c r="I92" t="s">
        <v>194</v>
      </c>
      <c r="J92" t="s">
        <v>181</v>
      </c>
      <c r="K92">
        <v>2</v>
      </c>
      <c r="L92">
        <v>2</v>
      </c>
      <c r="M92">
        <v>3798</v>
      </c>
      <c r="N92" t="s">
        <v>184</v>
      </c>
      <c r="O92">
        <v>4.5</v>
      </c>
      <c r="P92" t="s">
        <v>9</v>
      </c>
    </row>
    <row r="93" spans="1:16" x14ac:dyDescent="0.3">
      <c r="A93" s="5">
        <v>93</v>
      </c>
      <c r="B93" t="s">
        <v>246</v>
      </c>
      <c r="C93" t="s">
        <v>247</v>
      </c>
      <c r="D93" t="s">
        <v>12</v>
      </c>
      <c r="E93" t="s">
        <v>512</v>
      </c>
      <c r="F93" s="4">
        <v>46158</v>
      </c>
      <c r="G93" t="s">
        <v>54</v>
      </c>
      <c r="H93" t="s">
        <v>494</v>
      </c>
      <c r="I93" t="s">
        <v>186</v>
      </c>
      <c r="J93" t="s">
        <v>181</v>
      </c>
      <c r="K93">
        <v>1</v>
      </c>
      <c r="L93">
        <v>1</v>
      </c>
      <c r="M93">
        <v>4999</v>
      </c>
      <c r="N93" t="s">
        <v>478</v>
      </c>
      <c r="O93">
        <v>4.9000000000000004</v>
      </c>
      <c r="P93" t="s">
        <v>9</v>
      </c>
    </row>
    <row r="94" spans="1:16" x14ac:dyDescent="0.3">
      <c r="A94" s="5">
        <v>94</v>
      </c>
      <c r="B94" t="s">
        <v>248</v>
      </c>
      <c r="C94" t="s">
        <v>249</v>
      </c>
      <c r="D94" t="s">
        <v>7</v>
      </c>
      <c r="E94" t="s">
        <v>513</v>
      </c>
      <c r="F94" s="4">
        <v>46158</v>
      </c>
      <c r="G94" t="s">
        <v>28</v>
      </c>
      <c r="H94" t="s">
        <v>185</v>
      </c>
      <c r="I94" t="s">
        <v>190</v>
      </c>
      <c r="J94" t="s">
        <v>187</v>
      </c>
      <c r="K94">
        <v>3</v>
      </c>
      <c r="L94">
        <v>3</v>
      </c>
      <c r="M94">
        <v>5997</v>
      </c>
      <c r="N94" t="s">
        <v>8</v>
      </c>
      <c r="O94">
        <v>4.2</v>
      </c>
      <c r="P94" t="s">
        <v>9</v>
      </c>
    </row>
    <row r="95" spans="1:16" x14ac:dyDescent="0.3">
      <c r="A95" s="5">
        <v>95</v>
      </c>
      <c r="B95" t="s">
        <v>250</v>
      </c>
      <c r="C95" t="s">
        <v>251</v>
      </c>
      <c r="D95" t="s">
        <v>12</v>
      </c>
      <c r="E95" t="s">
        <v>514</v>
      </c>
      <c r="F95" s="4">
        <v>46159</v>
      </c>
      <c r="G95" t="s">
        <v>482</v>
      </c>
      <c r="H95" t="s">
        <v>179</v>
      </c>
      <c r="I95" t="s">
        <v>189</v>
      </c>
      <c r="J95" t="s">
        <v>181</v>
      </c>
      <c r="K95">
        <v>2</v>
      </c>
      <c r="L95">
        <v>2</v>
      </c>
      <c r="M95">
        <v>6998</v>
      </c>
      <c r="N95" t="s">
        <v>184</v>
      </c>
      <c r="O95">
        <v>4.8</v>
      </c>
      <c r="P95" t="s">
        <v>9</v>
      </c>
    </row>
    <row r="96" spans="1:16" x14ac:dyDescent="0.3">
      <c r="A96" s="5">
        <v>96</v>
      </c>
      <c r="B96" t="s">
        <v>252</v>
      </c>
      <c r="C96" t="s">
        <v>253</v>
      </c>
      <c r="D96" t="s">
        <v>7</v>
      </c>
      <c r="E96" t="s">
        <v>515</v>
      </c>
      <c r="F96" s="4">
        <v>46159</v>
      </c>
      <c r="G96" t="s">
        <v>488</v>
      </c>
      <c r="H96" t="s">
        <v>182</v>
      </c>
      <c r="I96" t="s">
        <v>197</v>
      </c>
      <c r="J96" t="s">
        <v>181</v>
      </c>
      <c r="K96">
        <v>6</v>
      </c>
      <c r="L96">
        <v>6</v>
      </c>
      <c r="M96">
        <v>3594</v>
      </c>
      <c r="N96" t="s">
        <v>192</v>
      </c>
      <c r="O96">
        <v>4.3</v>
      </c>
      <c r="P96" t="s">
        <v>9</v>
      </c>
    </row>
    <row r="97" spans="1:16" x14ac:dyDescent="0.3">
      <c r="A97" s="5">
        <v>97</v>
      </c>
      <c r="B97" t="s">
        <v>254</v>
      </c>
      <c r="C97" t="s">
        <v>255</v>
      </c>
      <c r="D97" t="s">
        <v>12</v>
      </c>
      <c r="E97" t="s">
        <v>516</v>
      </c>
      <c r="F97" s="4">
        <v>46160</v>
      </c>
      <c r="G97" t="s">
        <v>483</v>
      </c>
      <c r="H97" t="s">
        <v>195</v>
      </c>
      <c r="I97" t="s">
        <v>193</v>
      </c>
      <c r="J97" t="s">
        <v>191</v>
      </c>
      <c r="K97">
        <v>5</v>
      </c>
      <c r="L97">
        <v>5</v>
      </c>
      <c r="M97">
        <v>3495</v>
      </c>
      <c r="N97" t="s">
        <v>8</v>
      </c>
      <c r="O97">
        <v>4</v>
      </c>
      <c r="P97" t="s">
        <v>9</v>
      </c>
    </row>
    <row r="98" spans="1:16" x14ac:dyDescent="0.3">
      <c r="A98" s="5">
        <v>98</v>
      </c>
      <c r="B98" t="s">
        <v>256</v>
      </c>
      <c r="C98" t="s">
        <v>257</v>
      </c>
      <c r="D98" t="s">
        <v>7</v>
      </c>
      <c r="E98" t="s">
        <v>517</v>
      </c>
      <c r="F98" s="4">
        <v>46160</v>
      </c>
      <c r="G98" t="s">
        <v>51</v>
      </c>
      <c r="H98" t="s">
        <v>200</v>
      </c>
      <c r="I98" t="s">
        <v>199</v>
      </c>
      <c r="J98" t="s">
        <v>181</v>
      </c>
      <c r="K98">
        <v>2</v>
      </c>
      <c r="L98">
        <v>2</v>
      </c>
      <c r="M98">
        <v>5998</v>
      </c>
      <c r="N98" t="s">
        <v>184</v>
      </c>
      <c r="O98">
        <v>4.9000000000000004</v>
      </c>
      <c r="P98" t="s">
        <v>9</v>
      </c>
    </row>
    <row r="99" spans="1:16" x14ac:dyDescent="0.3">
      <c r="A99" s="5">
        <v>99</v>
      </c>
      <c r="B99" t="s">
        <v>258</v>
      </c>
      <c r="C99" t="s">
        <v>259</v>
      </c>
      <c r="D99" t="s">
        <v>12</v>
      </c>
      <c r="E99" t="s">
        <v>518</v>
      </c>
      <c r="F99" s="4">
        <v>46161</v>
      </c>
      <c r="G99" t="s">
        <v>487</v>
      </c>
      <c r="H99" t="s">
        <v>182</v>
      </c>
      <c r="I99" t="s">
        <v>198</v>
      </c>
      <c r="J99" t="s">
        <v>181</v>
      </c>
      <c r="K99">
        <v>4</v>
      </c>
      <c r="L99">
        <v>4</v>
      </c>
      <c r="M99">
        <v>4796</v>
      </c>
      <c r="N99" t="s">
        <v>478</v>
      </c>
      <c r="O99">
        <v>4.7</v>
      </c>
      <c r="P99" t="s">
        <v>9</v>
      </c>
    </row>
    <row r="100" spans="1:16" x14ac:dyDescent="0.3">
      <c r="A100" s="5">
        <v>100</v>
      </c>
      <c r="B100" t="s">
        <v>260</v>
      </c>
      <c r="C100" t="s">
        <v>261</v>
      </c>
      <c r="D100" t="s">
        <v>7</v>
      </c>
      <c r="E100" t="s">
        <v>519</v>
      </c>
      <c r="F100" s="4">
        <v>46161</v>
      </c>
      <c r="G100" t="s">
        <v>486</v>
      </c>
      <c r="H100" t="s">
        <v>179</v>
      </c>
      <c r="I100" t="s">
        <v>180</v>
      </c>
      <c r="J100" t="s">
        <v>181</v>
      </c>
      <c r="K100">
        <v>3</v>
      </c>
      <c r="L100">
        <v>3</v>
      </c>
      <c r="M100">
        <v>4197</v>
      </c>
      <c r="N100" t="s">
        <v>8</v>
      </c>
      <c r="O100">
        <v>4.4000000000000004</v>
      </c>
      <c r="P100" t="s">
        <v>9</v>
      </c>
    </row>
    <row r="101" spans="1:16" x14ac:dyDescent="0.3">
      <c r="A101" s="5">
        <v>101</v>
      </c>
      <c r="B101" t="s">
        <v>262</v>
      </c>
      <c r="C101" t="s">
        <v>263</v>
      </c>
      <c r="D101" t="s">
        <v>12</v>
      </c>
      <c r="E101" t="s">
        <v>520</v>
      </c>
      <c r="F101" s="4">
        <v>46162</v>
      </c>
      <c r="G101" t="s">
        <v>489</v>
      </c>
      <c r="H101" t="s">
        <v>182</v>
      </c>
      <c r="I101" t="s">
        <v>194</v>
      </c>
      <c r="J101" t="s">
        <v>181</v>
      </c>
      <c r="K101">
        <v>2</v>
      </c>
      <c r="L101">
        <v>2</v>
      </c>
      <c r="M101">
        <v>5598</v>
      </c>
      <c r="N101" t="s">
        <v>184</v>
      </c>
      <c r="O101">
        <v>4.8</v>
      </c>
      <c r="P101" t="s">
        <v>9</v>
      </c>
    </row>
    <row r="102" spans="1:16" x14ac:dyDescent="0.3">
      <c r="A102" s="5">
        <v>102</v>
      </c>
      <c r="B102" t="s">
        <v>264</v>
      </c>
      <c r="C102" t="s">
        <v>265</v>
      </c>
      <c r="D102" t="s">
        <v>7</v>
      </c>
      <c r="E102" t="s">
        <v>521</v>
      </c>
      <c r="F102" s="4">
        <v>46162</v>
      </c>
      <c r="G102" t="s">
        <v>479</v>
      </c>
      <c r="H102" t="s">
        <v>185</v>
      </c>
      <c r="I102" t="s">
        <v>186</v>
      </c>
      <c r="J102" t="s">
        <v>187</v>
      </c>
      <c r="K102">
        <v>3</v>
      </c>
      <c r="L102">
        <v>3</v>
      </c>
      <c r="M102">
        <v>5397</v>
      </c>
      <c r="N102" t="s">
        <v>478</v>
      </c>
      <c r="O102">
        <v>4.3</v>
      </c>
      <c r="P102" t="s">
        <v>9</v>
      </c>
    </row>
    <row r="103" spans="1:16" x14ac:dyDescent="0.3">
      <c r="A103" s="5">
        <v>103</v>
      </c>
      <c r="B103" t="s">
        <v>266</v>
      </c>
      <c r="C103" t="s">
        <v>267</v>
      </c>
      <c r="D103" t="s">
        <v>12</v>
      </c>
      <c r="E103" t="s">
        <v>522</v>
      </c>
      <c r="F103" s="4">
        <v>46163</v>
      </c>
      <c r="G103" t="s">
        <v>69</v>
      </c>
      <c r="H103" t="s">
        <v>182</v>
      </c>
      <c r="I103" t="s">
        <v>189</v>
      </c>
      <c r="J103" t="s">
        <v>181</v>
      </c>
      <c r="K103">
        <v>5</v>
      </c>
      <c r="L103">
        <v>5</v>
      </c>
      <c r="M103">
        <v>6495</v>
      </c>
      <c r="N103" t="s">
        <v>8</v>
      </c>
      <c r="O103">
        <v>4.9000000000000004</v>
      </c>
      <c r="P103" t="s">
        <v>9</v>
      </c>
    </row>
    <row r="104" spans="1:16" x14ac:dyDescent="0.3">
      <c r="A104" s="5">
        <v>104</v>
      </c>
      <c r="B104" t="s">
        <v>268</v>
      </c>
      <c r="C104" t="s">
        <v>269</v>
      </c>
      <c r="D104" t="s">
        <v>7</v>
      </c>
      <c r="E104" t="s">
        <v>523</v>
      </c>
      <c r="F104" s="4">
        <v>46163</v>
      </c>
      <c r="G104" t="s">
        <v>481</v>
      </c>
      <c r="H104" t="s">
        <v>179</v>
      </c>
      <c r="I104" t="s">
        <v>190</v>
      </c>
      <c r="J104" t="s">
        <v>181</v>
      </c>
      <c r="K104">
        <v>4</v>
      </c>
      <c r="L104">
        <v>4</v>
      </c>
      <c r="M104">
        <v>3996</v>
      </c>
      <c r="N104" t="s">
        <v>184</v>
      </c>
      <c r="O104">
        <v>4.5</v>
      </c>
      <c r="P104" t="s">
        <v>9</v>
      </c>
    </row>
    <row r="105" spans="1:16" x14ac:dyDescent="0.3">
      <c r="A105" s="5">
        <v>105</v>
      </c>
      <c r="B105" t="s">
        <v>270</v>
      </c>
      <c r="C105" t="s">
        <v>271</v>
      </c>
      <c r="D105" t="s">
        <v>12</v>
      </c>
      <c r="E105" t="s">
        <v>524</v>
      </c>
      <c r="F105" s="4">
        <v>46164</v>
      </c>
      <c r="G105" t="s">
        <v>484</v>
      </c>
      <c r="H105" t="s">
        <v>185</v>
      </c>
      <c r="I105" t="s">
        <v>197</v>
      </c>
      <c r="J105" t="s">
        <v>181</v>
      </c>
      <c r="K105">
        <v>2</v>
      </c>
      <c r="L105">
        <v>2</v>
      </c>
      <c r="M105">
        <v>4398</v>
      </c>
      <c r="N105" t="s">
        <v>478</v>
      </c>
      <c r="O105">
        <v>4.8</v>
      </c>
      <c r="P105" t="s">
        <v>9</v>
      </c>
    </row>
    <row r="106" spans="1:16" x14ac:dyDescent="0.3">
      <c r="A106" s="5">
        <v>106</v>
      </c>
      <c r="B106" t="s">
        <v>272</v>
      </c>
      <c r="C106" t="s">
        <v>273</v>
      </c>
      <c r="D106" t="s">
        <v>7</v>
      </c>
      <c r="E106" t="s">
        <v>525</v>
      </c>
      <c r="F106" s="4">
        <v>46164</v>
      </c>
      <c r="G106" t="s">
        <v>509</v>
      </c>
      <c r="H106" t="s">
        <v>182</v>
      </c>
      <c r="I106" t="s">
        <v>193</v>
      </c>
      <c r="J106" t="s">
        <v>191</v>
      </c>
      <c r="K106">
        <v>4</v>
      </c>
      <c r="L106">
        <v>4</v>
      </c>
      <c r="M106">
        <v>4396</v>
      </c>
      <c r="N106" t="s">
        <v>192</v>
      </c>
      <c r="O106">
        <v>4.0999999999999996</v>
      </c>
      <c r="P106" t="s">
        <v>9</v>
      </c>
    </row>
    <row r="107" spans="1:16" x14ac:dyDescent="0.3">
      <c r="A107" s="5">
        <v>107</v>
      </c>
      <c r="B107" t="s">
        <v>274</v>
      </c>
      <c r="C107" t="s">
        <v>275</v>
      </c>
      <c r="D107" t="s">
        <v>12</v>
      </c>
      <c r="E107" t="s">
        <v>526</v>
      </c>
      <c r="F107" s="4">
        <v>46165</v>
      </c>
      <c r="G107" t="s">
        <v>54</v>
      </c>
      <c r="H107" t="s">
        <v>494</v>
      </c>
      <c r="I107" t="s">
        <v>199</v>
      </c>
      <c r="J107" t="s">
        <v>181</v>
      </c>
      <c r="K107">
        <v>1</v>
      </c>
      <c r="L107">
        <v>1</v>
      </c>
      <c r="M107">
        <v>4999</v>
      </c>
      <c r="N107" t="s">
        <v>8</v>
      </c>
      <c r="O107">
        <v>4.9000000000000004</v>
      </c>
      <c r="P107" t="s">
        <v>9</v>
      </c>
    </row>
    <row r="108" spans="1:16" x14ac:dyDescent="0.3">
      <c r="A108" s="5">
        <v>108</v>
      </c>
      <c r="B108" t="s">
        <v>276</v>
      </c>
      <c r="C108" t="s">
        <v>277</v>
      </c>
      <c r="D108" t="s">
        <v>7</v>
      </c>
      <c r="E108" t="s">
        <v>527</v>
      </c>
      <c r="F108" s="4">
        <v>46165</v>
      </c>
      <c r="G108" t="s">
        <v>61</v>
      </c>
      <c r="H108" t="s">
        <v>200</v>
      </c>
      <c r="I108" t="s">
        <v>198</v>
      </c>
      <c r="J108" t="s">
        <v>181</v>
      </c>
      <c r="K108">
        <v>1</v>
      </c>
      <c r="L108">
        <v>1</v>
      </c>
      <c r="M108">
        <v>3999</v>
      </c>
      <c r="N108" t="s">
        <v>184</v>
      </c>
      <c r="O108">
        <v>4.5999999999999996</v>
      </c>
      <c r="P108" t="s">
        <v>9</v>
      </c>
    </row>
    <row r="109" spans="1:16" x14ac:dyDescent="0.3">
      <c r="A109" s="5">
        <v>109</v>
      </c>
      <c r="B109" t="s">
        <v>278</v>
      </c>
      <c r="C109" t="s">
        <v>279</v>
      </c>
      <c r="D109" t="s">
        <v>12</v>
      </c>
      <c r="E109" t="s">
        <v>528</v>
      </c>
      <c r="F109" s="4">
        <v>46166</v>
      </c>
      <c r="G109" t="s">
        <v>490</v>
      </c>
      <c r="H109" t="s">
        <v>195</v>
      </c>
      <c r="I109" t="s">
        <v>180</v>
      </c>
      <c r="J109" t="s">
        <v>187</v>
      </c>
      <c r="K109">
        <v>4</v>
      </c>
      <c r="L109">
        <v>4</v>
      </c>
      <c r="M109">
        <v>5996</v>
      </c>
      <c r="N109" t="s">
        <v>478</v>
      </c>
      <c r="O109">
        <v>4.3</v>
      </c>
      <c r="P109" t="s">
        <v>9</v>
      </c>
    </row>
    <row r="110" spans="1:16" x14ac:dyDescent="0.3">
      <c r="A110" s="5">
        <v>110</v>
      </c>
      <c r="B110" t="s">
        <v>280</v>
      </c>
      <c r="C110" t="s">
        <v>281</v>
      </c>
      <c r="D110" t="s">
        <v>7</v>
      </c>
      <c r="E110" t="s">
        <v>529</v>
      </c>
      <c r="F110" s="4">
        <v>46166</v>
      </c>
      <c r="G110" t="s">
        <v>477</v>
      </c>
      <c r="H110" t="s">
        <v>179</v>
      </c>
      <c r="I110" t="s">
        <v>194</v>
      </c>
      <c r="J110" t="s">
        <v>181</v>
      </c>
      <c r="K110">
        <v>5</v>
      </c>
      <c r="L110">
        <v>5</v>
      </c>
      <c r="M110">
        <v>3995</v>
      </c>
      <c r="N110" t="s">
        <v>8</v>
      </c>
      <c r="O110">
        <v>4.7</v>
      </c>
      <c r="P110" t="s">
        <v>9</v>
      </c>
    </row>
    <row r="111" spans="1:16" x14ac:dyDescent="0.3">
      <c r="A111" s="5">
        <v>111</v>
      </c>
      <c r="B111" t="s">
        <v>282</v>
      </c>
      <c r="C111" t="s">
        <v>283</v>
      </c>
      <c r="D111" t="s">
        <v>12</v>
      </c>
      <c r="E111" t="s">
        <v>530</v>
      </c>
      <c r="F111" s="4">
        <v>46174</v>
      </c>
      <c r="G111" t="s">
        <v>69</v>
      </c>
      <c r="H111" t="s">
        <v>182</v>
      </c>
      <c r="I111" t="s">
        <v>180</v>
      </c>
      <c r="J111" t="s">
        <v>181</v>
      </c>
      <c r="K111">
        <v>3</v>
      </c>
      <c r="L111">
        <v>3</v>
      </c>
      <c r="M111">
        <v>3897</v>
      </c>
      <c r="N111" t="s">
        <v>8</v>
      </c>
      <c r="O111">
        <v>4.8</v>
      </c>
      <c r="P111" t="s">
        <v>9</v>
      </c>
    </row>
    <row r="112" spans="1:16" x14ac:dyDescent="0.3">
      <c r="A112" s="5">
        <v>112</v>
      </c>
      <c r="B112" t="s">
        <v>284</v>
      </c>
      <c r="C112" t="s">
        <v>285</v>
      </c>
      <c r="D112" t="s">
        <v>7</v>
      </c>
      <c r="E112" t="s">
        <v>531</v>
      </c>
      <c r="F112" s="4">
        <v>46174</v>
      </c>
      <c r="G112" t="s">
        <v>35</v>
      </c>
      <c r="H112" t="s">
        <v>185</v>
      </c>
      <c r="I112" t="s">
        <v>194</v>
      </c>
      <c r="J112" t="s">
        <v>181</v>
      </c>
      <c r="K112">
        <v>2</v>
      </c>
      <c r="L112">
        <v>2</v>
      </c>
      <c r="M112">
        <v>3798</v>
      </c>
      <c r="N112" t="s">
        <v>184</v>
      </c>
      <c r="O112">
        <v>4.5</v>
      </c>
      <c r="P112" t="s">
        <v>9</v>
      </c>
    </row>
    <row r="113" spans="1:16" x14ac:dyDescent="0.3">
      <c r="A113" s="5">
        <v>113</v>
      </c>
      <c r="B113" t="s">
        <v>286</v>
      </c>
      <c r="C113" t="s">
        <v>287</v>
      </c>
      <c r="D113" t="s">
        <v>12</v>
      </c>
      <c r="E113" t="s">
        <v>532</v>
      </c>
      <c r="F113" s="4">
        <v>46175</v>
      </c>
      <c r="G113" t="s">
        <v>54</v>
      </c>
      <c r="H113" t="s">
        <v>494</v>
      </c>
      <c r="I113" t="s">
        <v>186</v>
      </c>
      <c r="J113" t="s">
        <v>181</v>
      </c>
      <c r="K113">
        <v>1</v>
      </c>
      <c r="L113">
        <v>1</v>
      </c>
      <c r="M113">
        <v>4999</v>
      </c>
      <c r="N113" t="s">
        <v>478</v>
      </c>
      <c r="O113">
        <v>4.9000000000000004</v>
      </c>
      <c r="P113" t="s">
        <v>9</v>
      </c>
    </row>
    <row r="114" spans="1:16" x14ac:dyDescent="0.3">
      <c r="A114" s="5">
        <v>114</v>
      </c>
      <c r="B114" t="s">
        <v>288</v>
      </c>
      <c r="C114" t="s">
        <v>289</v>
      </c>
      <c r="D114" t="s">
        <v>7</v>
      </c>
      <c r="E114" t="s">
        <v>533</v>
      </c>
      <c r="F114" s="4">
        <v>46175</v>
      </c>
      <c r="G114" t="s">
        <v>28</v>
      </c>
      <c r="H114" t="s">
        <v>185</v>
      </c>
      <c r="I114" t="s">
        <v>189</v>
      </c>
      <c r="J114" t="s">
        <v>187</v>
      </c>
      <c r="K114">
        <v>2</v>
      </c>
      <c r="L114">
        <v>2</v>
      </c>
      <c r="M114">
        <v>3998</v>
      </c>
      <c r="N114" t="s">
        <v>8</v>
      </c>
      <c r="O114">
        <v>4.2</v>
      </c>
      <c r="P114" t="s">
        <v>9</v>
      </c>
    </row>
    <row r="115" spans="1:16" x14ac:dyDescent="0.3">
      <c r="A115" s="5">
        <v>115</v>
      </c>
      <c r="B115" t="s">
        <v>290</v>
      </c>
      <c r="C115" t="s">
        <v>291</v>
      </c>
      <c r="D115" t="s">
        <v>12</v>
      </c>
      <c r="E115" t="s">
        <v>534</v>
      </c>
      <c r="F115" s="4">
        <v>46176</v>
      </c>
      <c r="G115" t="s">
        <v>489</v>
      </c>
      <c r="H115" t="s">
        <v>179</v>
      </c>
      <c r="I115" t="s">
        <v>190</v>
      </c>
      <c r="J115" t="s">
        <v>181</v>
      </c>
      <c r="K115">
        <v>2</v>
      </c>
      <c r="L115">
        <v>2</v>
      </c>
      <c r="M115">
        <v>5598</v>
      </c>
      <c r="N115" t="s">
        <v>184</v>
      </c>
      <c r="O115">
        <v>4.7</v>
      </c>
      <c r="P115" t="s">
        <v>9</v>
      </c>
    </row>
    <row r="116" spans="1:16" x14ac:dyDescent="0.3">
      <c r="A116" s="5">
        <v>116</v>
      </c>
      <c r="B116" t="s">
        <v>292</v>
      </c>
      <c r="C116" t="s">
        <v>293</v>
      </c>
      <c r="D116" t="s">
        <v>7</v>
      </c>
      <c r="E116" t="s">
        <v>535</v>
      </c>
      <c r="F116" s="4">
        <v>46176</v>
      </c>
      <c r="G116" t="s">
        <v>488</v>
      </c>
      <c r="H116" t="s">
        <v>182</v>
      </c>
      <c r="I116" t="s">
        <v>197</v>
      </c>
      <c r="J116" t="s">
        <v>181</v>
      </c>
      <c r="K116">
        <v>5</v>
      </c>
      <c r="L116">
        <v>5</v>
      </c>
      <c r="M116">
        <v>2995</v>
      </c>
      <c r="N116" t="s">
        <v>192</v>
      </c>
      <c r="O116">
        <v>4.4000000000000004</v>
      </c>
      <c r="P116" t="s">
        <v>9</v>
      </c>
    </row>
    <row r="117" spans="1:16" x14ac:dyDescent="0.3">
      <c r="A117" s="5">
        <v>117</v>
      </c>
      <c r="B117" t="s">
        <v>294</v>
      </c>
      <c r="C117" t="s">
        <v>295</v>
      </c>
      <c r="D117" t="s">
        <v>12</v>
      </c>
      <c r="E117" t="s">
        <v>536</v>
      </c>
      <c r="F117" s="4">
        <v>46177</v>
      </c>
      <c r="G117" t="s">
        <v>483</v>
      </c>
      <c r="H117" t="s">
        <v>195</v>
      </c>
      <c r="I117" t="s">
        <v>193</v>
      </c>
      <c r="J117" t="s">
        <v>191</v>
      </c>
      <c r="K117">
        <v>4</v>
      </c>
      <c r="L117">
        <v>4</v>
      </c>
      <c r="M117">
        <v>2796</v>
      </c>
      <c r="N117" t="s">
        <v>8</v>
      </c>
      <c r="O117">
        <v>4</v>
      </c>
      <c r="P117" t="s">
        <v>9</v>
      </c>
    </row>
    <row r="118" spans="1:16" x14ac:dyDescent="0.3">
      <c r="A118" s="5">
        <v>118</v>
      </c>
      <c r="B118" t="s">
        <v>296</v>
      </c>
      <c r="C118" t="s">
        <v>297</v>
      </c>
      <c r="D118" t="s">
        <v>7</v>
      </c>
      <c r="E118" t="s">
        <v>537</v>
      </c>
      <c r="F118" s="4">
        <v>46177</v>
      </c>
      <c r="G118" t="s">
        <v>51</v>
      </c>
      <c r="H118" t="s">
        <v>200</v>
      </c>
      <c r="I118" t="s">
        <v>199</v>
      </c>
      <c r="J118" t="s">
        <v>181</v>
      </c>
      <c r="K118">
        <v>2</v>
      </c>
      <c r="L118">
        <v>2</v>
      </c>
      <c r="M118">
        <v>5998</v>
      </c>
      <c r="N118" t="s">
        <v>184</v>
      </c>
      <c r="O118">
        <v>4.9000000000000004</v>
      </c>
      <c r="P118" t="s">
        <v>9</v>
      </c>
    </row>
    <row r="119" spans="1:16" x14ac:dyDescent="0.3">
      <c r="A119" s="5">
        <v>119</v>
      </c>
      <c r="B119" t="s">
        <v>298</v>
      </c>
      <c r="C119" t="s">
        <v>299</v>
      </c>
      <c r="D119" t="s">
        <v>12</v>
      </c>
      <c r="E119" t="s">
        <v>538</v>
      </c>
      <c r="F119" s="4">
        <v>46178</v>
      </c>
      <c r="G119" t="s">
        <v>487</v>
      </c>
      <c r="H119" t="s">
        <v>182</v>
      </c>
      <c r="I119" t="s">
        <v>198</v>
      </c>
      <c r="J119" t="s">
        <v>181</v>
      </c>
      <c r="K119">
        <v>3</v>
      </c>
      <c r="L119">
        <v>3</v>
      </c>
      <c r="M119">
        <v>3597</v>
      </c>
      <c r="N119" t="s">
        <v>478</v>
      </c>
      <c r="O119">
        <v>4.5999999999999996</v>
      </c>
      <c r="P119" t="s">
        <v>9</v>
      </c>
    </row>
    <row r="120" spans="1:16" x14ac:dyDescent="0.3">
      <c r="A120" s="5">
        <v>120</v>
      </c>
      <c r="B120" t="s">
        <v>300</v>
      </c>
      <c r="C120" t="s">
        <v>301</v>
      </c>
      <c r="D120" t="s">
        <v>7</v>
      </c>
      <c r="E120" t="s">
        <v>539</v>
      </c>
      <c r="F120" s="4">
        <v>46178</v>
      </c>
      <c r="G120" t="s">
        <v>486</v>
      </c>
      <c r="H120" t="s">
        <v>179</v>
      </c>
      <c r="I120" t="s">
        <v>180</v>
      </c>
      <c r="J120" t="s">
        <v>181</v>
      </c>
      <c r="K120">
        <v>4</v>
      </c>
      <c r="L120">
        <v>4</v>
      </c>
      <c r="M120">
        <v>5596</v>
      </c>
      <c r="N120" t="s">
        <v>8</v>
      </c>
      <c r="O120">
        <v>4.5</v>
      </c>
      <c r="P120" t="s">
        <v>9</v>
      </c>
    </row>
    <row r="121" spans="1:16" x14ac:dyDescent="0.3">
      <c r="A121" s="5">
        <v>121</v>
      </c>
      <c r="B121" t="s">
        <v>302</v>
      </c>
      <c r="C121" t="s">
        <v>303</v>
      </c>
      <c r="D121" t="s">
        <v>12</v>
      </c>
      <c r="E121" t="s">
        <v>480</v>
      </c>
      <c r="F121" s="4">
        <v>46179</v>
      </c>
      <c r="G121" t="s">
        <v>482</v>
      </c>
      <c r="H121" t="s">
        <v>185</v>
      </c>
      <c r="I121" t="s">
        <v>194</v>
      </c>
      <c r="J121" t="s">
        <v>181</v>
      </c>
      <c r="K121">
        <v>2</v>
      </c>
      <c r="L121">
        <v>2</v>
      </c>
      <c r="M121">
        <v>6998</v>
      </c>
      <c r="N121" t="s">
        <v>184</v>
      </c>
      <c r="O121">
        <v>4.8</v>
      </c>
      <c r="P121" t="s">
        <v>9</v>
      </c>
    </row>
    <row r="122" spans="1:16" x14ac:dyDescent="0.3">
      <c r="A122" s="5">
        <v>122</v>
      </c>
      <c r="B122" t="s">
        <v>304</v>
      </c>
      <c r="C122" t="s">
        <v>305</v>
      </c>
      <c r="D122" t="s">
        <v>7</v>
      </c>
      <c r="E122" t="s">
        <v>540</v>
      </c>
      <c r="F122" s="4">
        <v>46179</v>
      </c>
      <c r="G122" t="s">
        <v>479</v>
      </c>
      <c r="H122" t="s">
        <v>185</v>
      </c>
      <c r="I122" t="s">
        <v>186</v>
      </c>
      <c r="J122" t="s">
        <v>187</v>
      </c>
      <c r="K122">
        <v>3</v>
      </c>
      <c r="L122">
        <v>3</v>
      </c>
      <c r="M122">
        <v>5397</v>
      </c>
      <c r="N122" t="s">
        <v>478</v>
      </c>
      <c r="O122">
        <v>4.3</v>
      </c>
      <c r="P122" t="s">
        <v>9</v>
      </c>
    </row>
    <row r="123" spans="1:16" x14ac:dyDescent="0.3">
      <c r="A123" s="5">
        <v>123</v>
      </c>
      <c r="B123" t="s">
        <v>306</v>
      </c>
      <c r="C123" t="s">
        <v>307</v>
      </c>
      <c r="D123" t="s">
        <v>12</v>
      </c>
      <c r="E123" t="s">
        <v>541</v>
      </c>
      <c r="F123" s="4">
        <v>46180</v>
      </c>
      <c r="G123" t="s">
        <v>69</v>
      </c>
      <c r="H123" t="s">
        <v>182</v>
      </c>
      <c r="I123" t="s">
        <v>189</v>
      </c>
      <c r="J123" t="s">
        <v>181</v>
      </c>
      <c r="K123">
        <v>4</v>
      </c>
      <c r="L123">
        <v>4</v>
      </c>
      <c r="M123">
        <v>5196</v>
      </c>
      <c r="N123" t="s">
        <v>8</v>
      </c>
      <c r="O123">
        <v>4.9000000000000004</v>
      </c>
      <c r="P123" t="s">
        <v>9</v>
      </c>
    </row>
    <row r="124" spans="1:16" x14ac:dyDescent="0.3">
      <c r="A124" s="5">
        <v>124</v>
      </c>
      <c r="B124" t="s">
        <v>308</v>
      </c>
      <c r="C124" t="s">
        <v>309</v>
      </c>
      <c r="D124" t="s">
        <v>7</v>
      </c>
      <c r="E124" t="s">
        <v>502</v>
      </c>
      <c r="F124" s="4">
        <v>46180</v>
      </c>
      <c r="G124" t="s">
        <v>481</v>
      </c>
      <c r="H124" t="s">
        <v>179</v>
      </c>
      <c r="I124" t="s">
        <v>190</v>
      </c>
      <c r="J124" t="s">
        <v>181</v>
      </c>
      <c r="K124">
        <v>5</v>
      </c>
      <c r="L124">
        <v>5</v>
      </c>
      <c r="M124">
        <v>4995</v>
      </c>
      <c r="N124" t="s">
        <v>184</v>
      </c>
      <c r="O124">
        <v>4.5</v>
      </c>
      <c r="P124" t="s">
        <v>9</v>
      </c>
    </row>
    <row r="125" spans="1:16" x14ac:dyDescent="0.3">
      <c r="A125" s="5">
        <v>125</v>
      </c>
      <c r="B125" t="s">
        <v>310</v>
      </c>
      <c r="C125" t="s">
        <v>311</v>
      </c>
      <c r="D125" t="s">
        <v>12</v>
      </c>
      <c r="E125" t="s">
        <v>542</v>
      </c>
      <c r="F125" s="4">
        <v>46181</v>
      </c>
      <c r="G125" t="s">
        <v>484</v>
      </c>
      <c r="H125" t="s">
        <v>185</v>
      </c>
      <c r="I125" t="s">
        <v>197</v>
      </c>
      <c r="J125" t="s">
        <v>181</v>
      </c>
      <c r="K125">
        <v>2</v>
      </c>
      <c r="L125">
        <v>2</v>
      </c>
      <c r="M125">
        <v>4398</v>
      </c>
      <c r="N125" t="s">
        <v>478</v>
      </c>
      <c r="O125">
        <v>4.7</v>
      </c>
      <c r="P125" t="s">
        <v>9</v>
      </c>
    </row>
    <row r="126" spans="1:16" x14ac:dyDescent="0.3">
      <c r="A126" s="5">
        <v>126</v>
      </c>
      <c r="B126" t="s">
        <v>312</v>
      </c>
      <c r="C126" t="s">
        <v>313</v>
      </c>
      <c r="D126" t="s">
        <v>7</v>
      </c>
      <c r="E126" t="s">
        <v>543</v>
      </c>
      <c r="F126" s="4">
        <v>46181</v>
      </c>
      <c r="G126" t="s">
        <v>509</v>
      </c>
      <c r="H126" t="s">
        <v>182</v>
      </c>
      <c r="I126" t="s">
        <v>193</v>
      </c>
      <c r="J126" t="s">
        <v>191</v>
      </c>
      <c r="K126">
        <v>4</v>
      </c>
      <c r="L126">
        <v>4</v>
      </c>
      <c r="M126">
        <v>4396</v>
      </c>
      <c r="N126" t="s">
        <v>192</v>
      </c>
      <c r="O126">
        <v>4.0999999999999996</v>
      </c>
      <c r="P126" t="s">
        <v>9</v>
      </c>
    </row>
    <row r="127" spans="1:16" x14ac:dyDescent="0.3">
      <c r="A127" s="5">
        <v>127</v>
      </c>
      <c r="B127" t="s">
        <v>314</v>
      </c>
      <c r="C127" t="s">
        <v>315</v>
      </c>
      <c r="D127" t="s">
        <v>12</v>
      </c>
      <c r="E127" t="s">
        <v>544</v>
      </c>
      <c r="F127" s="4">
        <v>46182</v>
      </c>
      <c r="G127" t="s">
        <v>54</v>
      </c>
      <c r="H127" t="s">
        <v>494</v>
      </c>
      <c r="I127" t="s">
        <v>199</v>
      </c>
      <c r="J127" t="s">
        <v>181</v>
      </c>
      <c r="K127">
        <v>1</v>
      </c>
      <c r="L127">
        <v>1</v>
      </c>
      <c r="M127">
        <v>4999</v>
      </c>
      <c r="N127" t="s">
        <v>8</v>
      </c>
      <c r="O127">
        <v>4.9000000000000004</v>
      </c>
      <c r="P127" t="s">
        <v>9</v>
      </c>
    </row>
    <row r="128" spans="1:16" x14ac:dyDescent="0.3">
      <c r="A128" s="5">
        <v>128</v>
      </c>
      <c r="B128" t="s">
        <v>316</v>
      </c>
      <c r="C128" t="s">
        <v>317</v>
      </c>
      <c r="D128" t="s">
        <v>7</v>
      </c>
      <c r="E128" t="s">
        <v>318</v>
      </c>
      <c r="F128" s="4">
        <v>46182</v>
      </c>
      <c r="G128" t="s">
        <v>61</v>
      </c>
      <c r="H128" t="s">
        <v>200</v>
      </c>
      <c r="I128" t="s">
        <v>198</v>
      </c>
      <c r="J128" t="s">
        <v>181</v>
      </c>
      <c r="K128">
        <v>1</v>
      </c>
      <c r="L128">
        <v>1</v>
      </c>
      <c r="M128">
        <v>3999</v>
      </c>
      <c r="N128" t="s">
        <v>184</v>
      </c>
      <c r="O128">
        <v>4.5999999999999996</v>
      </c>
      <c r="P128" t="s">
        <v>9</v>
      </c>
    </row>
    <row r="129" spans="1:16" x14ac:dyDescent="0.3">
      <c r="A129" s="5">
        <v>129</v>
      </c>
      <c r="B129" t="s">
        <v>319</v>
      </c>
      <c r="C129" t="s">
        <v>320</v>
      </c>
      <c r="D129" t="s">
        <v>12</v>
      </c>
      <c r="E129" t="s">
        <v>120</v>
      </c>
      <c r="F129" s="4">
        <v>46183</v>
      </c>
      <c r="G129" t="s">
        <v>490</v>
      </c>
      <c r="H129" t="s">
        <v>195</v>
      </c>
      <c r="I129" t="s">
        <v>180</v>
      </c>
      <c r="J129" t="s">
        <v>187</v>
      </c>
      <c r="K129">
        <v>4</v>
      </c>
      <c r="L129">
        <v>4</v>
      </c>
      <c r="M129">
        <v>5996</v>
      </c>
      <c r="N129" t="s">
        <v>478</v>
      </c>
      <c r="O129">
        <v>4.3</v>
      </c>
      <c r="P129" t="s">
        <v>9</v>
      </c>
    </row>
    <row r="130" spans="1:16" x14ac:dyDescent="0.3">
      <c r="A130" s="5">
        <v>130</v>
      </c>
      <c r="B130" t="s">
        <v>321</v>
      </c>
      <c r="C130" t="s">
        <v>322</v>
      </c>
      <c r="D130" t="s">
        <v>7</v>
      </c>
      <c r="E130" t="s">
        <v>323</v>
      </c>
      <c r="F130" s="4">
        <v>46183</v>
      </c>
      <c r="G130" t="s">
        <v>477</v>
      </c>
      <c r="H130" t="s">
        <v>179</v>
      </c>
      <c r="I130" t="s">
        <v>194</v>
      </c>
      <c r="J130" t="s">
        <v>181</v>
      </c>
      <c r="K130">
        <v>6</v>
      </c>
      <c r="L130">
        <v>6</v>
      </c>
      <c r="M130">
        <v>4794</v>
      </c>
      <c r="N130" t="s">
        <v>8</v>
      </c>
      <c r="O130">
        <v>4.7</v>
      </c>
      <c r="P130" t="s">
        <v>9</v>
      </c>
    </row>
    <row r="131" spans="1:16" x14ac:dyDescent="0.3">
      <c r="A131" s="5">
        <v>131</v>
      </c>
      <c r="B131" t="s">
        <v>324</v>
      </c>
      <c r="C131" t="s">
        <v>325</v>
      </c>
      <c r="D131" t="s">
        <v>12</v>
      </c>
      <c r="E131" t="s">
        <v>326</v>
      </c>
      <c r="F131" s="4">
        <v>46184</v>
      </c>
      <c r="G131" t="s">
        <v>69</v>
      </c>
      <c r="H131" t="s">
        <v>185</v>
      </c>
      <c r="I131" t="s">
        <v>186</v>
      </c>
      <c r="J131" t="s">
        <v>181</v>
      </c>
      <c r="K131">
        <v>5</v>
      </c>
      <c r="L131">
        <v>5</v>
      </c>
      <c r="M131">
        <v>6495</v>
      </c>
      <c r="N131" t="s">
        <v>184</v>
      </c>
      <c r="O131">
        <v>4.8</v>
      </c>
      <c r="P131" t="s">
        <v>9</v>
      </c>
    </row>
    <row r="132" spans="1:16" x14ac:dyDescent="0.3">
      <c r="A132" s="5">
        <v>132</v>
      </c>
      <c r="B132" t="s">
        <v>327</v>
      </c>
      <c r="C132" t="s">
        <v>328</v>
      </c>
      <c r="D132" t="s">
        <v>7</v>
      </c>
      <c r="E132" t="s">
        <v>329</v>
      </c>
      <c r="F132" s="4">
        <v>46184</v>
      </c>
      <c r="G132" t="s">
        <v>28</v>
      </c>
      <c r="H132" t="s">
        <v>185</v>
      </c>
      <c r="I132" t="s">
        <v>189</v>
      </c>
      <c r="J132" t="s">
        <v>181</v>
      </c>
      <c r="K132">
        <v>3</v>
      </c>
      <c r="L132">
        <v>3</v>
      </c>
      <c r="M132">
        <v>5997</v>
      </c>
      <c r="N132" t="s">
        <v>8</v>
      </c>
      <c r="O132">
        <v>4.4000000000000004</v>
      </c>
      <c r="P132" t="s">
        <v>9</v>
      </c>
    </row>
    <row r="133" spans="1:16" x14ac:dyDescent="0.3">
      <c r="A133" s="5">
        <v>133</v>
      </c>
      <c r="B133" t="s">
        <v>330</v>
      </c>
      <c r="C133" t="s">
        <v>331</v>
      </c>
      <c r="D133" t="s">
        <v>12</v>
      </c>
      <c r="E133" t="s">
        <v>332</v>
      </c>
      <c r="F133" s="4">
        <v>46185</v>
      </c>
      <c r="G133" t="s">
        <v>489</v>
      </c>
      <c r="H133" t="s">
        <v>182</v>
      </c>
      <c r="I133" t="s">
        <v>190</v>
      </c>
      <c r="J133" t="s">
        <v>181</v>
      </c>
      <c r="K133">
        <v>2</v>
      </c>
      <c r="L133">
        <v>2</v>
      </c>
      <c r="M133">
        <v>5598</v>
      </c>
      <c r="N133" t="s">
        <v>478</v>
      </c>
      <c r="O133">
        <v>4.9000000000000004</v>
      </c>
      <c r="P133" t="s">
        <v>9</v>
      </c>
    </row>
    <row r="134" spans="1:16" x14ac:dyDescent="0.3">
      <c r="A134" s="5">
        <v>134</v>
      </c>
      <c r="B134" t="s">
        <v>333</v>
      </c>
      <c r="C134" t="s">
        <v>334</v>
      </c>
      <c r="D134" t="s">
        <v>7</v>
      </c>
      <c r="E134" t="s">
        <v>335</v>
      </c>
      <c r="F134" s="4">
        <v>46185</v>
      </c>
      <c r="G134" t="s">
        <v>35</v>
      </c>
      <c r="H134" t="s">
        <v>179</v>
      </c>
      <c r="I134" t="s">
        <v>197</v>
      </c>
      <c r="J134" t="s">
        <v>181</v>
      </c>
      <c r="K134">
        <v>4</v>
      </c>
      <c r="L134">
        <v>4</v>
      </c>
      <c r="M134">
        <v>7596</v>
      </c>
      <c r="N134" t="s">
        <v>184</v>
      </c>
      <c r="O134">
        <v>4.5</v>
      </c>
      <c r="P134" t="s">
        <v>9</v>
      </c>
    </row>
    <row r="135" spans="1:16" x14ac:dyDescent="0.3">
      <c r="A135" s="5">
        <v>135</v>
      </c>
      <c r="B135" t="s">
        <v>336</v>
      </c>
      <c r="C135" t="s">
        <v>337</v>
      </c>
      <c r="D135" t="s">
        <v>12</v>
      </c>
      <c r="E135" t="s">
        <v>133</v>
      </c>
      <c r="F135" s="4">
        <v>46186</v>
      </c>
      <c r="G135" t="s">
        <v>483</v>
      </c>
      <c r="H135" t="s">
        <v>195</v>
      </c>
      <c r="I135" t="s">
        <v>193</v>
      </c>
      <c r="J135" t="s">
        <v>191</v>
      </c>
      <c r="K135">
        <v>5</v>
      </c>
      <c r="L135">
        <v>5</v>
      </c>
      <c r="M135">
        <v>3495</v>
      </c>
      <c r="N135" t="s">
        <v>192</v>
      </c>
      <c r="O135">
        <v>3.9</v>
      </c>
      <c r="P135" t="s">
        <v>9</v>
      </c>
    </row>
    <row r="136" spans="1:16" x14ac:dyDescent="0.3">
      <c r="A136" s="5">
        <v>136</v>
      </c>
      <c r="B136" t="s">
        <v>338</v>
      </c>
      <c r="C136" t="s">
        <v>339</v>
      </c>
      <c r="D136" t="s">
        <v>7</v>
      </c>
      <c r="E136" t="s">
        <v>340</v>
      </c>
      <c r="F136" s="4">
        <v>46186</v>
      </c>
      <c r="G136" t="s">
        <v>51</v>
      </c>
      <c r="H136" t="s">
        <v>200</v>
      </c>
      <c r="I136" t="s">
        <v>199</v>
      </c>
      <c r="J136" t="s">
        <v>181</v>
      </c>
      <c r="K136">
        <v>3</v>
      </c>
      <c r="L136">
        <v>3</v>
      </c>
      <c r="M136">
        <v>8997</v>
      </c>
      <c r="N136" t="s">
        <v>8</v>
      </c>
      <c r="O136">
        <v>4.8</v>
      </c>
      <c r="P136" t="s">
        <v>9</v>
      </c>
    </row>
    <row r="137" spans="1:16" x14ac:dyDescent="0.3">
      <c r="A137" s="5">
        <v>137</v>
      </c>
      <c r="B137" t="s">
        <v>341</v>
      </c>
      <c r="C137" t="s">
        <v>342</v>
      </c>
      <c r="D137" t="s">
        <v>12</v>
      </c>
      <c r="E137" t="s">
        <v>223</v>
      </c>
      <c r="F137" s="4">
        <v>46187</v>
      </c>
      <c r="G137" t="s">
        <v>54</v>
      </c>
      <c r="H137" t="s">
        <v>494</v>
      </c>
      <c r="I137" t="s">
        <v>198</v>
      </c>
      <c r="J137" t="s">
        <v>181</v>
      </c>
      <c r="K137">
        <v>2</v>
      </c>
      <c r="L137">
        <v>2</v>
      </c>
      <c r="M137">
        <v>9998</v>
      </c>
      <c r="N137" t="s">
        <v>184</v>
      </c>
      <c r="O137">
        <v>4.9000000000000004</v>
      </c>
      <c r="P137" t="s">
        <v>9</v>
      </c>
    </row>
    <row r="138" spans="1:16" x14ac:dyDescent="0.3">
      <c r="A138" s="5">
        <v>138</v>
      </c>
      <c r="B138" t="s">
        <v>343</v>
      </c>
      <c r="C138" t="s">
        <v>344</v>
      </c>
      <c r="D138" t="s">
        <v>7</v>
      </c>
      <c r="E138" t="s">
        <v>92</v>
      </c>
      <c r="F138" s="4">
        <v>46187</v>
      </c>
      <c r="G138" t="s">
        <v>486</v>
      </c>
      <c r="H138" t="s">
        <v>185</v>
      </c>
      <c r="I138" t="s">
        <v>180</v>
      </c>
      <c r="J138" t="s">
        <v>187</v>
      </c>
      <c r="K138">
        <v>2</v>
      </c>
      <c r="L138">
        <v>2</v>
      </c>
      <c r="M138">
        <v>2798</v>
      </c>
      <c r="N138" t="s">
        <v>478</v>
      </c>
      <c r="O138">
        <v>4.2</v>
      </c>
      <c r="P138" t="s">
        <v>9</v>
      </c>
    </row>
    <row r="139" spans="1:16" x14ac:dyDescent="0.3">
      <c r="A139" s="5">
        <v>139</v>
      </c>
      <c r="B139" t="s">
        <v>345</v>
      </c>
      <c r="C139" t="s">
        <v>346</v>
      </c>
      <c r="D139" t="s">
        <v>12</v>
      </c>
      <c r="E139" t="s">
        <v>347</v>
      </c>
      <c r="F139" s="4">
        <v>46188</v>
      </c>
      <c r="G139" t="s">
        <v>482</v>
      </c>
      <c r="H139" t="s">
        <v>185</v>
      </c>
      <c r="I139" t="s">
        <v>194</v>
      </c>
      <c r="J139" t="s">
        <v>181</v>
      </c>
      <c r="K139">
        <v>2</v>
      </c>
      <c r="L139">
        <v>2</v>
      </c>
      <c r="M139">
        <v>6998</v>
      </c>
      <c r="N139" t="s">
        <v>8</v>
      </c>
      <c r="O139">
        <v>4.8</v>
      </c>
      <c r="P139" t="s">
        <v>9</v>
      </c>
    </row>
    <row r="140" spans="1:16" x14ac:dyDescent="0.3">
      <c r="A140" s="5">
        <v>140</v>
      </c>
      <c r="B140" t="s">
        <v>348</v>
      </c>
      <c r="C140" t="s">
        <v>349</v>
      </c>
      <c r="D140" t="s">
        <v>7</v>
      </c>
      <c r="E140" t="s">
        <v>350</v>
      </c>
      <c r="F140" s="4">
        <v>46188</v>
      </c>
      <c r="G140" t="s">
        <v>479</v>
      </c>
      <c r="H140" t="s">
        <v>179</v>
      </c>
      <c r="I140" t="s">
        <v>186</v>
      </c>
      <c r="J140" t="s">
        <v>181</v>
      </c>
      <c r="K140">
        <v>3</v>
      </c>
      <c r="L140">
        <v>3</v>
      </c>
      <c r="M140">
        <v>5397</v>
      </c>
      <c r="N140" t="s">
        <v>184</v>
      </c>
      <c r="O140">
        <v>4.5999999999999996</v>
      </c>
      <c r="P140" t="s">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BCF90-8F23-4B7C-8074-53D4AFD07F56}">
  <sheetPr>
    <tabColor theme="6" tint="-0.249977111117893"/>
  </sheetPr>
  <dimension ref="A1:S143"/>
  <sheetViews>
    <sheetView topLeftCell="A112" workbookViewId="0">
      <selection activeCell="J27" sqref="A1:S141"/>
    </sheetView>
  </sheetViews>
  <sheetFormatPr defaultRowHeight="14.4" x14ac:dyDescent="0.3"/>
  <cols>
    <col min="1" max="1" width="8.88671875" style="1"/>
    <col min="2" max="2" width="9.44140625" style="1" customWidth="1"/>
    <col min="3" max="3" width="12.77734375" style="1" customWidth="1"/>
    <col min="4" max="4" width="9" style="1" customWidth="1"/>
    <col min="5" max="5" width="16" style="1" customWidth="1"/>
    <col min="6" max="6" width="11.88671875" style="2" customWidth="1"/>
    <col min="7" max="7" width="20.77734375" style="3" customWidth="1"/>
    <col min="8" max="8" width="12.109375" style="1" customWidth="1"/>
    <col min="9" max="9" width="12.5546875" style="1" customWidth="1"/>
    <col min="10" max="10" width="15" style="1" customWidth="1"/>
    <col min="11" max="11" width="14.33203125" style="3" customWidth="1"/>
    <col min="12" max="12" width="8.88671875" style="2"/>
    <col min="13" max="13" width="11.88671875" style="2" customWidth="1"/>
    <col min="14" max="15" width="11.109375" style="1" customWidth="1"/>
    <col min="16" max="16" width="20.21875" style="6" customWidth="1"/>
    <col min="17" max="17" width="16.44140625" style="1" customWidth="1"/>
    <col min="18" max="18" width="18.21875" style="2" customWidth="1"/>
    <col min="19" max="19" width="13.88671875" style="1" bestFit="1" customWidth="1"/>
    <col min="20" max="16384" width="8.88671875" style="1"/>
  </cols>
  <sheetData>
    <row r="1" spans="1:19" x14ac:dyDescent="0.3">
      <c r="A1" s="7" t="s">
        <v>0</v>
      </c>
      <c r="B1" s="7" t="s">
        <v>170</v>
      </c>
      <c r="C1" s="7" t="s">
        <v>171</v>
      </c>
      <c r="D1" s="7" t="s">
        <v>1</v>
      </c>
      <c r="E1" s="7" t="s">
        <v>172</v>
      </c>
      <c r="F1" s="8" t="s">
        <v>2</v>
      </c>
      <c r="G1" s="9" t="s">
        <v>3</v>
      </c>
      <c r="H1" s="7" t="s">
        <v>553</v>
      </c>
      <c r="I1" s="7" t="s">
        <v>554</v>
      </c>
      <c r="J1" s="7" t="s">
        <v>173</v>
      </c>
      <c r="K1" s="9" t="s">
        <v>351</v>
      </c>
      <c r="L1" s="8" t="s">
        <v>4</v>
      </c>
      <c r="M1" s="9" t="s">
        <v>546</v>
      </c>
      <c r="N1" s="7" t="s">
        <v>174</v>
      </c>
      <c r="O1" s="7" t="s">
        <v>175</v>
      </c>
      <c r="P1" s="10" t="s">
        <v>545</v>
      </c>
      <c r="Q1" s="7" t="s">
        <v>176</v>
      </c>
      <c r="R1" s="8" t="s">
        <v>177</v>
      </c>
      <c r="S1" s="7" t="s">
        <v>178</v>
      </c>
    </row>
    <row r="2" spans="1:19" x14ac:dyDescent="0.3">
      <c r="A2" s="11">
        <v>1</v>
      </c>
      <c r="B2" s="11" t="s">
        <v>5</v>
      </c>
      <c r="C2" s="11" t="s">
        <v>6</v>
      </c>
      <c r="D2" s="11" t="s">
        <v>7</v>
      </c>
      <c r="E2" s="11" t="s">
        <v>362</v>
      </c>
      <c r="F2" s="12">
        <v>46113</v>
      </c>
      <c r="G2" s="11" t="s">
        <v>352</v>
      </c>
      <c r="H2" s="11" t="s">
        <v>179</v>
      </c>
      <c r="I2" s="11" t="s">
        <v>180</v>
      </c>
      <c r="J2" s="11" t="s">
        <v>181</v>
      </c>
      <c r="K2" s="13">
        <v>600</v>
      </c>
      <c r="L2" s="11">
        <v>10</v>
      </c>
      <c r="M2" s="11" t="str">
        <f>TEXT(F2,"mmmm")</f>
        <v>April</v>
      </c>
      <c r="N2" s="14">
        <v>5</v>
      </c>
      <c r="O2" s="14">
        <f>K2*N2</f>
        <v>3000</v>
      </c>
      <c r="P2" s="15">
        <f>N2/L2*100</f>
        <v>50</v>
      </c>
      <c r="Q2" s="11" t="s">
        <v>8</v>
      </c>
      <c r="R2" s="14">
        <v>4.5999999999999996</v>
      </c>
      <c r="S2" s="11" t="s">
        <v>9</v>
      </c>
    </row>
    <row r="3" spans="1:19" x14ac:dyDescent="0.3">
      <c r="A3" s="16">
        <v>2</v>
      </c>
      <c r="B3" s="16" t="s">
        <v>10</v>
      </c>
      <c r="C3" s="16" t="s">
        <v>11</v>
      </c>
      <c r="D3" s="16" t="s">
        <v>12</v>
      </c>
      <c r="E3" s="16" t="s">
        <v>13</v>
      </c>
      <c r="F3" s="17">
        <v>46113</v>
      </c>
      <c r="G3" s="16" t="s">
        <v>14</v>
      </c>
      <c r="H3" s="16" t="s">
        <v>182</v>
      </c>
      <c r="I3" s="16" t="s">
        <v>180</v>
      </c>
      <c r="J3" s="16" t="s">
        <v>181</v>
      </c>
      <c r="K3" s="18">
        <v>800</v>
      </c>
      <c r="L3" s="16">
        <v>20</v>
      </c>
      <c r="M3" s="11" t="str">
        <f t="shared" ref="M3:M66" si="0">TEXT(F3,"mmmm")</f>
        <v>April</v>
      </c>
      <c r="N3" s="19">
        <v>12</v>
      </c>
      <c r="O3" s="14">
        <f t="shared" ref="O3:O66" si="1">K3*N3</f>
        <v>9600</v>
      </c>
      <c r="P3" s="15">
        <f t="shared" ref="P3:P66" si="2">N3/L3*100</f>
        <v>60</v>
      </c>
      <c r="Q3" s="16" t="s">
        <v>8</v>
      </c>
      <c r="R3" s="19">
        <v>4.3</v>
      </c>
      <c r="S3" s="16" t="s">
        <v>9</v>
      </c>
    </row>
    <row r="4" spans="1:19" x14ac:dyDescent="0.3">
      <c r="A4" s="11">
        <v>3</v>
      </c>
      <c r="B4" s="11" t="s">
        <v>15</v>
      </c>
      <c r="C4" s="11" t="s">
        <v>16</v>
      </c>
      <c r="D4" s="11" t="s">
        <v>7</v>
      </c>
      <c r="E4" s="11" t="s">
        <v>17</v>
      </c>
      <c r="F4" s="12">
        <v>46114</v>
      </c>
      <c r="G4" s="11" t="s">
        <v>18</v>
      </c>
      <c r="H4" s="11" t="s">
        <v>179</v>
      </c>
      <c r="I4" s="11" t="s">
        <v>180</v>
      </c>
      <c r="J4" s="11" t="s">
        <v>181</v>
      </c>
      <c r="K4" s="13">
        <v>800</v>
      </c>
      <c r="L4" s="11">
        <v>15</v>
      </c>
      <c r="M4" s="11" t="str">
        <f t="shared" si="0"/>
        <v>April</v>
      </c>
      <c r="N4" s="14">
        <v>9</v>
      </c>
      <c r="O4" s="14">
        <f t="shared" si="1"/>
        <v>7200</v>
      </c>
      <c r="P4" s="15">
        <f t="shared" si="2"/>
        <v>60</v>
      </c>
      <c r="Q4" s="11" t="s">
        <v>8</v>
      </c>
      <c r="R4" s="14">
        <v>4.5</v>
      </c>
      <c r="S4" s="11" t="s">
        <v>9</v>
      </c>
    </row>
    <row r="5" spans="1:19" x14ac:dyDescent="0.3">
      <c r="A5" s="16">
        <v>4</v>
      </c>
      <c r="B5" s="16" t="s">
        <v>19</v>
      </c>
      <c r="C5" s="16" t="s">
        <v>20</v>
      </c>
      <c r="D5" s="16" t="s">
        <v>12</v>
      </c>
      <c r="E5" s="16" t="s">
        <v>21</v>
      </c>
      <c r="F5" s="17">
        <v>46114</v>
      </c>
      <c r="G5" s="16" t="s">
        <v>22</v>
      </c>
      <c r="H5" s="16" t="s">
        <v>182</v>
      </c>
      <c r="I5" s="16" t="s">
        <v>183</v>
      </c>
      <c r="J5" s="16" t="s">
        <v>181</v>
      </c>
      <c r="K5" s="18">
        <v>700</v>
      </c>
      <c r="L5" s="16">
        <v>10</v>
      </c>
      <c r="M5" s="11" t="str">
        <f t="shared" si="0"/>
        <v>April</v>
      </c>
      <c r="N5" s="19">
        <v>6</v>
      </c>
      <c r="O5" s="14">
        <f t="shared" si="1"/>
        <v>4200</v>
      </c>
      <c r="P5" s="15">
        <f t="shared" si="2"/>
        <v>60</v>
      </c>
      <c r="Q5" s="16" t="s">
        <v>8</v>
      </c>
      <c r="R5" s="19">
        <v>4.7</v>
      </c>
      <c r="S5" s="16" t="s">
        <v>9</v>
      </c>
    </row>
    <row r="6" spans="1:19" x14ac:dyDescent="0.3">
      <c r="A6" s="11">
        <v>5</v>
      </c>
      <c r="B6" s="11" t="s">
        <v>23</v>
      </c>
      <c r="C6" s="11" t="s">
        <v>24</v>
      </c>
      <c r="D6" s="11" t="s">
        <v>7</v>
      </c>
      <c r="E6" s="11" t="s">
        <v>25</v>
      </c>
      <c r="F6" s="12">
        <v>46115</v>
      </c>
      <c r="G6" s="11" t="s">
        <v>353</v>
      </c>
      <c r="H6" s="11" t="s">
        <v>185</v>
      </c>
      <c r="I6" s="11" t="s">
        <v>186</v>
      </c>
      <c r="J6" s="11" t="s">
        <v>187</v>
      </c>
      <c r="K6" s="13">
        <v>800</v>
      </c>
      <c r="L6" s="11">
        <v>15</v>
      </c>
      <c r="M6" s="11" t="str">
        <f t="shared" si="0"/>
        <v>April</v>
      </c>
      <c r="N6" s="14">
        <v>5</v>
      </c>
      <c r="O6" s="14">
        <f t="shared" si="1"/>
        <v>4000</v>
      </c>
      <c r="P6" s="15">
        <f t="shared" si="2"/>
        <v>33.333333333333329</v>
      </c>
      <c r="Q6" s="11" t="s">
        <v>188</v>
      </c>
      <c r="R6" s="14">
        <v>4.2</v>
      </c>
      <c r="S6" s="11" t="s">
        <v>9</v>
      </c>
    </row>
    <row r="7" spans="1:19" x14ac:dyDescent="0.3">
      <c r="A7" s="16">
        <v>6</v>
      </c>
      <c r="B7" s="16" t="s">
        <v>26</v>
      </c>
      <c r="C7" s="16" t="s">
        <v>27</v>
      </c>
      <c r="D7" s="16" t="s">
        <v>12</v>
      </c>
      <c r="E7" s="16" t="s">
        <v>363</v>
      </c>
      <c r="F7" s="17">
        <v>46115</v>
      </c>
      <c r="G7" s="16" t="s">
        <v>28</v>
      </c>
      <c r="H7" s="16" t="s">
        <v>182</v>
      </c>
      <c r="I7" s="16" t="s">
        <v>189</v>
      </c>
      <c r="J7" s="16" t="s">
        <v>181</v>
      </c>
      <c r="K7" s="18">
        <v>700</v>
      </c>
      <c r="L7" s="16">
        <v>14</v>
      </c>
      <c r="M7" s="11" t="str">
        <f t="shared" si="0"/>
        <v>April</v>
      </c>
      <c r="N7" s="19">
        <v>4</v>
      </c>
      <c r="O7" s="14">
        <f t="shared" si="1"/>
        <v>2800</v>
      </c>
      <c r="P7" s="15">
        <f t="shared" si="2"/>
        <v>28.571428571428569</v>
      </c>
      <c r="Q7" s="16" t="s">
        <v>8</v>
      </c>
      <c r="R7" s="19">
        <v>4.8</v>
      </c>
      <c r="S7" s="16" t="s">
        <v>9</v>
      </c>
    </row>
    <row r="8" spans="1:19" x14ac:dyDescent="0.3">
      <c r="A8" s="11">
        <v>7</v>
      </c>
      <c r="B8" s="11" t="s">
        <v>29</v>
      </c>
      <c r="C8" s="11" t="s">
        <v>30</v>
      </c>
      <c r="D8" s="11" t="s">
        <v>7</v>
      </c>
      <c r="E8" s="11" t="s">
        <v>364</v>
      </c>
      <c r="F8" s="12">
        <v>46116</v>
      </c>
      <c r="G8" s="11" t="s">
        <v>354</v>
      </c>
      <c r="H8" s="11" t="s">
        <v>179</v>
      </c>
      <c r="I8" s="11" t="s">
        <v>190</v>
      </c>
      <c r="J8" s="11" t="s">
        <v>191</v>
      </c>
      <c r="K8" s="13">
        <v>800</v>
      </c>
      <c r="L8" s="11">
        <v>12</v>
      </c>
      <c r="M8" s="11" t="str">
        <f t="shared" si="0"/>
        <v>April</v>
      </c>
      <c r="N8" s="14">
        <v>2</v>
      </c>
      <c r="O8" s="14">
        <f t="shared" si="1"/>
        <v>1600</v>
      </c>
      <c r="P8" s="15">
        <f t="shared" si="2"/>
        <v>16.666666666666664</v>
      </c>
      <c r="Q8" s="11" t="s">
        <v>192</v>
      </c>
      <c r="R8" s="14">
        <v>4.0999999999999996</v>
      </c>
      <c r="S8" s="11" t="s">
        <v>9</v>
      </c>
    </row>
    <row r="9" spans="1:19" x14ac:dyDescent="0.3">
      <c r="A9" s="16">
        <v>8</v>
      </c>
      <c r="B9" s="16" t="s">
        <v>31</v>
      </c>
      <c r="C9" s="16" t="s">
        <v>32</v>
      </c>
      <c r="D9" s="16" t="s">
        <v>12</v>
      </c>
      <c r="E9" s="16" t="s">
        <v>365</v>
      </c>
      <c r="F9" s="17">
        <v>46116</v>
      </c>
      <c r="G9" s="16" t="s">
        <v>355</v>
      </c>
      <c r="H9" s="16" t="s">
        <v>185</v>
      </c>
      <c r="I9" s="16" t="s">
        <v>193</v>
      </c>
      <c r="J9" s="16" t="s">
        <v>181</v>
      </c>
      <c r="K9" s="18">
        <v>1500</v>
      </c>
      <c r="L9" s="16">
        <v>15</v>
      </c>
      <c r="M9" s="11" t="str">
        <f t="shared" si="0"/>
        <v>April</v>
      </c>
      <c r="N9" s="19">
        <v>5</v>
      </c>
      <c r="O9" s="14">
        <f t="shared" si="1"/>
        <v>7500</v>
      </c>
      <c r="P9" s="15">
        <f t="shared" si="2"/>
        <v>33.333333333333329</v>
      </c>
      <c r="Q9" s="16" t="s">
        <v>8</v>
      </c>
      <c r="R9" s="19">
        <v>4.9000000000000004</v>
      </c>
      <c r="S9" s="16" t="s">
        <v>9</v>
      </c>
    </row>
    <row r="10" spans="1:19" x14ac:dyDescent="0.3">
      <c r="A10" s="11">
        <v>9</v>
      </c>
      <c r="B10" s="11" t="s">
        <v>33</v>
      </c>
      <c r="C10" s="11" t="s">
        <v>34</v>
      </c>
      <c r="D10" s="11" t="s">
        <v>7</v>
      </c>
      <c r="E10" s="11" t="s">
        <v>366</v>
      </c>
      <c r="F10" s="12">
        <v>46117</v>
      </c>
      <c r="G10" s="11" t="s">
        <v>35</v>
      </c>
      <c r="H10" s="11" t="s">
        <v>182</v>
      </c>
      <c r="I10" s="11" t="s">
        <v>194</v>
      </c>
      <c r="J10" s="11" t="s">
        <v>181</v>
      </c>
      <c r="K10" s="13">
        <v>899</v>
      </c>
      <c r="L10" s="11">
        <v>25</v>
      </c>
      <c r="M10" s="11" t="str">
        <f t="shared" si="0"/>
        <v>April</v>
      </c>
      <c r="N10" s="14">
        <v>3</v>
      </c>
      <c r="O10" s="14">
        <f t="shared" si="1"/>
        <v>2697</v>
      </c>
      <c r="P10" s="15">
        <f t="shared" si="2"/>
        <v>12</v>
      </c>
      <c r="Q10" s="11" t="s">
        <v>8</v>
      </c>
      <c r="R10" s="14">
        <v>4.3</v>
      </c>
      <c r="S10" s="11" t="s">
        <v>9</v>
      </c>
    </row>
    <row r="11" spans="1:19" x14ac:dyDescent="0.3">
      <c r="A11" s="16">
        <v>10</v>
      </c>
      <c r="B11" s="16" t="s">
        <v>36</v>
      </c>
      <c r="C11" s="16" t="s">
        <v>37</v>
      </c>
      <c r="D11" s="16" t="s">
        <v>12</v>
      </c>
      <c r="E11" s="16" t="s">
        <v>367</v>
      </c>
      <c r="F11" s="17">
        <v>46117</v>
      </c>
      <c r="G11" s="20" t="s">
        <v>356</v>
      </c>
      <c r="H11" s="16" t="s">
        <v>179</v>
      </c>
      <c r="I11" s="16" t="s">
        <v>180</v>
      </c>
      <c r="J11" s="16" t="s">
        <v>187</v>
      </c>
      <c r="K11" s="18">
        <v>600</v>
      </c>
      <c r="L11" s="16">
        <v>10</v>
      </c>
      <c r="M11" s="11" t="str">
        <f t="shared" si="0"/>
        <v>April</v>
      </c>
      <c r="N11" s="19">
        <v>5</v>
      </c>
      <c r="O11" s="14">
        <f t="shared" si="1"/>
        <v>3000</v>
      </c>
      <c r="P11" s="15">
        <f t="shared" si="2"/>
        <v>50</v>
      </c>
      <c r="Q11" s="16" t="s">
        <v>188</v>
      </c>
      <c r="R11" s="19">
        <v>4.5999999999999996</v>
      </c>
      <c r="S11" s="16" t="s">
        <v>9</v>
      </c>
    </row>
    <row r="12" spans="1:19" x14ac:dyDescent="0.3">
      <c r="A12" s="11">
        <v>11</v>
      </c>
      <c r="B12" s="11" t="s">
        <v>38</v>
      </c>
      <c r="C12" s="11" t="s">
        <v>39</v>
      </c>
      <c r="D12" s="11" t="s">
        <v>7</v>
      </c>
      <c r="E12" s="11" t="s">
        <v>368</v>
      </c>
      <c r="F12" s="12">
        <v>46118</v>
      </c>
      <c r="G12" s="11" t="s">
        <v>40</v>
      </c>
      <c r="H12" s="11" t="s">
        <v>185</v>
      </c>
      <c r="I12" s="11" t="s">
        <v>186</v>
      </c>
      <c r="J12" s="11" t="s">
        <v>181</v>
      </c>
      <c r="K12" s="13">
        <v>400</v>
      </c>
      <c r="L12" s="11">
        <v>12</v>
      </c>
      <c r="M12" s="11" t="str">
        <f t="shared" si="0"/>
        <v>April</v>
      </c>
      <c r="N12" s="14">
        <v>6</v>
      </c>
      <c r="O12" s="14">
        <f t="shared" si="1"/>
        <v>2400</v>
      </c>
      <c r="P12" s="15">
        <f t="shared" si="2"/>
        <v>50</v>
      </c>
      <c r="Q12" s="11" t="s">
        <v>8</v>
      </c>
      <c r="R12" s="14">
        <v>4.0999999999999996</v>
      </c>
      <c r="S12" s="11" t="s">
        <v>9</v>
      </c>
    </row>
    <row r="13" spans="1:19" x14ac:dyDescent="0.3">
      <c r="A13" s="16">
        <v>12</v>
      </c>
      <c r="B13" s="16" t="s">
        <v>41</v>
      </c>
      <c r="C13" s="16" t="s">
        <v>42</v>
      </c>
      <c r="D13" s="16" t="s">
        <v>12</v>
      </c>
      <c r="E13" s="16" t="s">
        <v>369</v>
      </c>
      <c r="F13" s="17">
        <v>46118</v>
      </c>
      <c r="G13" s="16" t="s">
        <v>43</v>
      </c>
      <c r="H13" s="16" t="s">
        <v>195</v>
      </c>
      <c r="I13" s="16" t="s">
        <v>189</v>
      </c>
      <c r="J13" s="16" t="s">
        <v>181</v>
      </c>
      <c r="K13" s="18">
        <v>900</v>
      </c>
      <c r="L13" s="16">
        <v>16</v>
      </c>
      <c r="M13" s="11" t="str">
        <f t="shared" si="0"/>
        <v>April</v>
      </c>
      <c r="N13" s="19">
        <v>6</v>
      </c>
      <c r="O13" s="14">
        <f t="shared" si="1"/>
        <v>5400</v>
      </c>
      <c r="P13" s="15">
        <f t="shared" si="2"/>
        <v>37.5</v>
      </c>
      <c r="Q13" s="16" t="s">
        <v>8</v>
      </c>
      <c r="R13" s="19">
        <v>4.4000000000000004</v>
      </c>
      <c r="S13" s="16" t="s">
        <v>9</v>
      </c>
    </row>
    <row r="14" spans="1:19" x14ac:dyDescent="0.3">
      <c r="A14" s="11">
        <v>13</v>
      </c>
      <c r="B14" s="11" t="s">
        <v>44</v>
      </c>
      <c r="C14" s="11" t="s">
        <v>45</v>
      </c>
      <c r="D14" s="11" t="s">
        <v>7</v>
      </c>
      <c r="E14" s="11" t="s">
        <v>370</v>
      </c>
      <c r="F14" s="12">
        <v>46119</v>
      </c>
      <c r="G14" s="11" t="s">
        <v>357</v>
      </c>
      <c r="H14" s="11" t="s">
        <v>179</v>
      </c>
      <c r="I14" s="11" t="s">
        <v>190</v>
      </c>
      <c r="J14" s="11" t="s">
        <v>181</v>
      </c>
      <c r="K14" s="13">
        <v>800</v>
      </c>
      <c r="L14" s="11">
        <v>14</v>
      </c>
      <c r="M14" s="11" t="str">
        <f t="shared" si="0"/>
        <v>April</v>
      </c>
      <c r="N14" s="14">
        <v>4</v>
      </c>
      <c r="O14" s="14">
        <f t="shared" si="1"/>
        <v>3200</v>
      </c>
      <c r="P14" s="15">
        <f t="shared" si="2"/>
        <v>28.571428571428569</v>
      </c>
      <c r="Q14" s="11" t="s">
        <v>192</v>
      </c>
      <c r="R14" s="14">
        <v>4.2</v>
      </c>
      <c r="S14" s="11" t="s">
        <v>9</v>
      </c>
    </row>
    <row r="15" spans="1:19" x14ac:dyDescent="0.3">
      <c r="A15" s="16">
        <v>14</v>
      </c>
      <c r="B15" s="16" t="s">
        <v>46</v>
      </c>
      <c r="C15" s="16" t="s">
        <v>47</v>
      </c>
      <c r="D15" s="16" t="s">
        <v>12</v>
      </c>
      <c r="E15" s="16" t="s">
        <v>371</v>
      </c>
      <c r="F15" s="17">
        <v>46119</v>
      </c>
      <c r="G15" s="16" t="s">
        <v>48</v>
      </c>
      <c r="H15" s="16" t="s">
        <v>182</v>
      </c>
      <c r="I15" s="16" t="s">
        <v>193</v>
      </c>
      <c r="J15" s="16" t="s">
        <v>181</v>
      </c>
      <c r="K15" s="18">
        <v>800</v>
      </c>
      <c r="L15" s="16">
        <v>12</v>
      </c>
      <c r="M15" s="11" t="str">
        <f t="shared" si="0"/>
        <v>April</v>
      </c>
      <c r="N15" s="19">
        <v>2</v>
      </c>
      <c r="O15" s="14">
        <f t="shared" si="1"/>
        <v>1600</v>
      </c>
      <c r="P15" s="15">
        <f t="shared" si="2"/>
        <v>16.666666666666664</v>
      </c>
      <c r="Q15" s="16" t="s">
        <v>8</v>
      </c>
      <c r="R15" s="19">
        <v>4.8</v>
      </c>
      <c r="S15" s="16" t="s">
        <v>9</v>
      </c>
    </row>
    <row r="16" spans="1:19" x14ac:dyDescent="0.3">
      <c r="A16" s="11">
        <v>15</v>
      </c>
      <c r="B16" s="11" t="s">
        <v>49</v>
      </c>
      <c r="C16" s="11" t="s">
        <v>50</v>
      </c>
      <c r="D16" s="11" t="s">
        <v>7</v>
      </c>
      <c r="E16" s="11" t="s">
        <v>372</v>
      </c>
      <c r="F16" s="12">
        <v>46120</v>
      </c>
      <c r="G16" s="11" t="s">
        <v>51</v>
      </c>
      <c r="H16" s="11" t="s">
        <v>185</v>
      </c>
      <c r="I16" s="11" t="s">
        <v>194</v>
      </c>
      <c r="J16" s="11" t="s">
        <v>187</v>
      </c>
      <c r="K16" s="13">
        <v>900</v>
      </c>
      <c r="L16" s="11">
        <v>15</v>
      </c>
      <c r="M16" s="11" t="str">
        <f t="shared" si="0"/>
        <v>April</v>
      </c>
      <c r="N16" s="14">
        <v>5</v>
      </c>
      <c r="O16" s="14">
        <f t="shared" si="1"/>
        <v>4500</v>
      </c>
      <c r="P16" s="15">
        <f t="shared" si="2"/>
        <v>33.333333333333329</v>
      </c>
      <c r="Q16" s="11" t="s">
        <v>8</v>
      </c>
      <c r="R16" s="14">
        <v>4.5</v>
      </c>
      <c r="S16" s="11" t="s">
        <v>9</v>
      </c>
    </row>
    <row r="17" spans="1:19" x14ac:dyDescent="0.3">
      <c r="A17" s="16">
        <v>16</v>
      </c>
      <c r="B17" s="16" t="s">
        <v>52</v>
      </c>
      <c r="C17" s="16" t="s">
        <v>53</v>
      </c>
      <c r="D17" s="16" t="s">
        <v>12</v>
      </c>
      <c r="E17" s="16" t="s">
        <v>373</v>
      </c>
      <c r="F17" s="17">
        <v>46120</v>
      </c>
      <c r="G17" s="16" t="s">
        <v>54</v>
      </c>
      <c r="H17" s="16" t="s">
        <v>182</v>
      </c>
      <c r="I17" s="16" t="s">
        <v>180</v>
      </c>
      <c r="J17" s="16" t="s">
        <v>181</v>
      </c>
      <c r="K17" s="18">
        <v>2999</v>
      </c>
      <c r="L17" s="16">
        <v>18</v>
      </c>
      <c r="M17" s="11" t="str">
        <f t="shared" si="0"/>
        <v>April</v>
      </c>
      <c r="N17" s="19">
        <v>3</v>
      </c>
      <c r="O17" s="14">
        <f t="shared" si="1"/>
        <v>8997</v>
      </c>
      <c r="P17" s="15">
        <f t="shared" si="2"/>
        <v>16.666666666666664</v>
      </c>
      <c r="Q17" s="16" t="s">
        <v>188</v>
      </c>
      <c r="R17" s="19">
        <v>4.5999999999999996</v>
      </c>
      <c r="S17" s="16" t="s">
        <v>9</v>
      </c>
    </row>
    <row r="18" spans="1:19" x14ac:dyDescent="0.3">
      <c r="A18" s="11">
        <v>17</v>
      </c>
      <c r="B18" s="11" t="s">
        <v>55</v>
      </c>
      <c r="C18" s="11" t="s">
        <v>56</v>
      </c>
      <c r="D18" s="11" t="s">
        <v>7</v>
      </c>
      <c r="E18" s="11" t="s">
        <v>374</v>
      </c>
      <c r="F18" s="12">
        <v>46121</v>
      </c>
      <c r="G18" s="11" t="s">
        <v>358</v>
      </c>
      <c r="H18" s="11" t="s">
        <v>185</v>
      </c>
      <c r="I18" s="11" t="s">
        <v>186</v>
      </c>
      <c r="J18" s="11" t="s">
        <v>181</v>
      </c>
      <c r="K18" s="13">
        <v>900</v>
      </c>
      <c r="L18" s="11">
        <v>12</v>
      </c>
      <c r="M18" s="11" t="str">
        <f t="shared" si="0"/>
        <v>April</v>
      </c>
      <c r="N18" s="14">
        <v>2</v>
      </c>
      <c r="O18" s="14">
        <f t="shared" si="1"/>
        <v>1800</v>
      </c>
      <c r="P18" s="15">
        <f t="shared" si="2"/>
        <v>16.666666666666664</v>
      </c>
      <c r="Q18" s="11" t="s">
        <v>8</v>
      </c>
      <c r="R18" s="14">
        <v>4.9000000000000004</v>
      </c>
      <c r="S18" s="11" t="s">
        <v>9</v>
      </c>
    </row>
    <row r="19" spans="1:19" x14ac:dyDescent="0.3">
      <c r="A19" s="16">
        <v>18</v>
      </c>
      <c r="B19" s="16" t="s">
        <v>57</v>
      </c>
      <c r="C19" s="16" t="s">
        <v>58</v>
      </c>
      <c r="D19" s="16" t="s">
        <v>12</v>
      </c>
      <c r="E19" s="16" t="s">
        <v>375</v>
      </c>
      <c r="F19" s="17">
        <v>46121</v>
      </c>
      <c r="G19" s="16" t="s">
        <v>359</v>
      </c>
      <c r="H19" s="16" t="s">
        <v>196</v>
      </c>
      <c r="I19" s="16" t="s">
        <v>189</v>
      </c>
      <c r="J19" s="16" t="s">
        <v>181</v>
      </c>
      <c r="K19" s="18">
        <v>800</v>
      </c>
      <c r="L19" s="16">
        <v>10</v>
      </c>
      <c r="M19" s="11" t="str">
        <f t="shared" si="0"/>
        <v>April</v>
      </c>
      <c r="N19" s="19">
        <v>5</v>
      </c>
      <c r="O19" s="14">
        <f t="shared" si="1"/>
        <v>4000</v>
      </c>
      <c r="P19" s="15">
        <f t="shared" si="2"/>
        <v>50</v>
      </c>
      <c r="Q19" s="16" t="s">
        <v>8</v>
      </c>
      <c r="R19" s="19">
        <v>4.7</v>
      </c>
      <c r="S19" s="16" t="s">
        <v>9</v>
      </c>
    </row>
    <row r="20" spans="1:19" x14ac:dyDescent="0.3">
      <c r="A20" s="11">
        <v>19</v>
      </c>
      <c r="B20" s="11" t="s">
        <v>59</v>
      </c>
      <c r="C20" s="11" t="s">
        <v>60</v>
      </c>
      <c r="D20" s="11" t="s">
        <v>7</v>
      </c>
      <c r="E20" s="11" t="s">
        <v>376</v>
      </c>
      <c r="F20" s="12">
        <v>46122</v>
      </c>
      <c r="G20" s="11" t="s">
        <v>61</v>
      </c>
      <c r="H20" s="11" t="s">
        <v>182</v>
      </c>
      <c r="I20" s="11" t="s">
        <v>190</v>
      </c>
      <c r="J20" s="11" t="s">
        <v>191</v>
      </c>
      <c r="K20" s="13">
        <v>900</v>
      </c>
      <c r="L20" s="11">
        <v>10</v>
      </c>
      <c r="M20" s="11" t="str">
        <f t="shared" si="0"/>
        <v>April</v>
      </c>
      <c r="N20" s="14">
        <v>7</v>
      </c>
      <c r="O20" s="14">
        <f t="shared" si="1"/>
        <v>6300</v>
      </c>
      <c r="P20" s="15">
        <f t="shared" si="2"/>
        <v>70</v>
      </c>
      <c r="Q20" s="11" t="s">
        <v>192</v>
      </c>
      <c r="R20" s="14">
        <v>4.0999999999999996</v>
      </c>
      <c r="S20" s="11" t="s">
        <v>9</v>
      </c>
    </row>
    <row r="21" spans="1:19" x14ac:dyDescent="0.3">
      <c r="A21" s="16">
        <v>20</v>
      </c>
      <c r="B21" s="16" t="s">
        <v>62</v>
      </c>
      <c r="C21" s="16" t="s">
        <v>63</v>
      </c>
      <c r="D21" s="16" t="s">
        <v>12</v>
      </c>
      <c r="E21" s="16" t="s">
        <v>377</v>
      </c>
      <c r="F21" s="17">
        <v>46122</v>
      </c>
      <c r="G21" s="16" t="s">
        <v>64</v>
      </c>
      <c r="H21" s="16" t="s">
        <v>179</v>
      </c>
      <c r="I21" s="16" t="s">
        <v>193</v>
      </c>
      <c r="J21" s="16" t="s">
        <v>181</v>
      </c>
      <c r="K21" s="18">
        <v>900</v>
      </c>
      <c r="L21" s="16">
        <v>12</v>
      </c>
      <c r="M21" s="11" t="str">
        <f t="shared" si="0"/>
        <v>April</v>
      </c>
      <c r="N21" s="19">
        <v>2</v>
      </c>
      <c r="O21" s="14">
        <f t="shared" si="1"/>
        <v>1800</v>
      </c>
      <c r="P21" s="15">
        <f t="shared" si="2"/>
        <v>16.666666666666664</v>
      </c>
      <c r="Q21" s="16" t="s">
        <v>8</v>
      </c>
      <c r="R21" s="19">
        <v>4.8</v>
      </c>
      <c r="S21" s="16" t="s">
        <v>9</v>
      </c>
    </row>
    <row r="22" spans="1:19" x14ac:dyDescent="0.3">
      <c r="A22" s="11">
        <v>21</v>
      </c>
      <c r="B22" s="11" t="s">
        <v>65</v>
      </c>
      <c r="C22" s="11" t="s">
        <v>66</v>
      </c>
      <c r="D22" s="11" t="s">
        <v>7</v>
      </c>
      <c r="E22" s="11" t="s">
        <v>378</v>
      </c>
      <c r="F22" s="12">
        <v>46123</v>
      </c>
      <c r="G22" s="11" t="s">
        <v>28</v>
      </c>
      <c r="H22" s="11" t="s">
        <v>185</v>
      </c>
      <c r="I22" s="11" t="s">
        <v>194</v>
      </c>
      <c r="J22" s="11" t="s">
        <v>181</v>
      </c>
      <c r="K22" s="13">
        <v>700</v>
      </c>
      <c r="L22" s="11">
        <v>10</v>
      </c>
      <c r="M22" s="11" t="str">
        <f t="shared" si="0"/>
        <v>April</v>
      </c>
      <c r="N22" s="14">
        <v>8</v>
      </c>
      <c r="O22" s="14">
        <f t="shared" si="1"/>
        <v>5600</v>
      </c>
      <c r="P22" s="15">
        <f t="shared" si="2"/>
        <v>80</v>
      </c>
      <c r="Q22" s="11" t="s">
        <v>188</v>
      </c>
      <c r="R22" s="14">
        <v>4.4000000000000004</v>
      </c>
      <c r="S22" s="11" t="s">
        <v>9</v>
      </c>
    </row>
    <row r="23" spans="1:19" x14ac:dyDescent="0.3">
      <c r="A23" s="16">
        <v>22</v>
      </c>
      <c r="B23" s="16" t="s">
        <v>67</v>
      </c>
      <c r="C23" s="16" t="s">
        <v>68</v>
      </c>
      <c r="D23" s="16" t="s">
        <v>12</v>
      </c>
      <c r="E23" s="16" t="s">
        <v>379</v>
      </c>
      <c r="F23" s="17">
        <v>46123</v>
      </c>
      <c r="G23" s="16" t="s">
        <v>69</v>
      </c>
      <c r="H23" s="16" t="s">
        <v>195</v>
      </c>
      <c r="I23" s="16" t="s">
        <v>180</v>
      </c>
      <c r="J23" s="16" t="s">
        <v>181</v>
      </c>
      <c r="K23" s="18">
        <v>899</v>
      </c>
      <c r="L23" s="16">
        <v>14</v>
      </c>
      <c r="M23" s="11" t="str">
        <f t="shared" si="0"/>
        <v>April</v>
      </c>
      <c r="N23" s="19">
        <v>4</v>
      </c>
      <c r="O23" s="14">
        <f t="shared" si="1"/>
        <v>3596</v>
      </c>
      <c r="P23" s="15">
        <f t="shared" si="2"/>
        <v>28.571428571428569</v>
      </c>
      <c r="Q23" s="16" t="s">
        <v>8</v>
      </c>
      <c r="R23" s="19">
        <v>4.5999999999999996</v>
      </c>
      <c r="S23" s="16" t="s">
        <v>9</v>
      </c>
    </row>
    <row r="24" spans="1:19" x14ac:dyDescent="0.3">
      <c r="A24" s="11">
        <v>23</v>
      </c>
      <c r="B24" s="11" t="s">
        <v>70</v>
      </c>
      <c r="C24" s="11" t="s">
        <v>71</v>
      </c>
      <c r="D24" s="11" t="s">
        <v>7</v>
      </c>
      <c r="E24" s="11" t="s">
        <v>380</v>
      </c>
      <c r="F24" s="12">
        <v>46124</v>
      </c>
      <c r="G24" s="11" t="s">
        <v>35</v>
      </c>
      <c r="H24" s="11" t="s">
        <v>179</v>
      </c>
      <c r="I24" s="11" t="s">
        <v>197</v>
      </c>
      <c r="J24" s="11" t="s">
        <v>181</v>
      </c>
      <c r="K24" s="13">
        <v>999</v>
      </c>
      <c r="L24" s="11">
        <v>12</v>
      </c>
      <c r="M24" s="11" t="str">
        <f t="shared" si="0"/>
        <v>April</v>
      </c>
      <c r="N24" s="14">
        <v>2</v>
      </c>
      <c r="O24" s="14">
        <f t="shared" si="1"/>
        <v>1998</v>
      </c>
      <c r="P24" s="15">
        <f t="shared" si="2"/>
        <v>16.666666666666664</v>
      </c>
      <c r="Q24" s="11" t="s">
        <v>8</v>
      </c>
      <c r="R24" s="14">
        <v>4.5</v>
      </c>
      <c r="S24" s="11" t="s">
        <v>9</v>
      </c>
    </row>
    <row r="25" spans="1:19" x14ac:dyDescent="0.3">
      <c r="A25" s="16">
        <v>24</v>
      </c>
      <c r="B25" s="16" t="s">
        <v>72</v>
      </c>
      <c r="C25" s="16" t="s">
        <v>73</v>
      </c>
      <c r="D25" s="16" t="s">
        <v>12</v>
      </c>
      <c r="E25" s="16" t="s">
        <v>381</v>
      </c>
      <c r="F25" s="17">
        <v>46124</v>
      </c>
      <c r="G25" s="16" t="s">
        <v>54</v>
      </c>
      <c r="H25" s="16" t="s">
        <v>182</v>
      </c>
      <c r="I25" s="16" t="s">
        <v>198</v>
      </c>
      <c r="J25" s="16" t="s">
        <v>181</v>
      </c>
      <c r="K25" s="18">
        <v>2999</v>
      </c>
      <c r="L25" s="16">
        <v>18</v>
      </c>
      <c r="M25" s="11" t="str">
        <f t="shared" si="0"/>
        <v>April</v>
      </c>
      <c r="N25" s="19">
        <v>3</v>
      </c>
      <c r="O25" s="14">
        <f t="shared" si="1"/>
        <v>8997</v>
      </c>
      <c r="P25" s="15">
        <f t="shared" si="2"/>
        <v>16.666666666666664</v>
      </c>
      <c r="Q25" s="16" t="s">
        <v>8</v>
      </c>
      <c r="R25" s="19">
        <v>4.7</v>
      </c>
      <c r="S25" s="16" t="s">
        <v>9</v>
      </c>
    </row>
    <row r="26" spans="1:19" x14ac:dyDescent="0.3">
      <c r="A26" s="11">
        <v>25</v>
      </c>
      <c r="B26" s="11" t="s">
        <v>74</v>
      </c>
      <c r="C26" s="11" t="s">
        <v>75</v>
      </c>
      <c r="D26" s="11" t="s">
        <v>7</v>
      </c>
      <c r="E26" s="11" t="s">
        <v>382</v>
      </c>
      <c r="F26" s="12">
        <v>46125</v>
      </c>
      <c r="G26" s="11" t="s">
        <v>354</v>
      </c>
      <c r="H26" s="11" t="s">
        <v>185</v>
      </c>
      <c r="I26" s="11" t="s">
        <v>199</v>
      </c>
      <c r="J26" s="11" t="s">
        <v>187</v>
      </c>
      <c r="K26" s="13">
        <v>800</v>
      </c>
      <c r="L26" s="11">
        <v>12</v>
      </c>
      <c r="M26" s="11" t="str">
        <f t="shared" si="0"/>
        <v>April</v>
      </c>
      <c r="N26" s="14">
        <v>2</v>
      </c>
      <c r="O26" s="14">
        <f t="shared" si="1"/>
        <v>1600</v>
      </c>
      <c r="P26" s="15">
        <f t="shared" si="2"/>
        <v>16.666666666666664</v>
      </c>
      <c r="Q26" s="11" t="s">
        <v>188</v>
      </c>
      <c r="R26" s="14">
        <v>4.3</v>
      </c>
      <c r="S26" s="11" t="s">
        <v>9</v>
      </c>
    </row>
    <row r="27" spans="1:19" x14ac:dyDescent="0.3">
      <c r="A27" s="16">
        <v>26</v>
      </c>
      <c r="B27" s="16" t="s">
        <v>76</v>
      </c>
      <c r="C27" s="16" t="s">
        <v>77</v>
      </c>
      <c r="D27" s="16" t="s">
        <v>12</v>
      </c>
      <c r="E27" s="16" t="s">
        <v>383</v>
      </c>
      <c r="F27" s="17">
        <v>46125</v>
      </c>
      <c r="G27" s="20" t="s">
        <v>356</v>
      </c>
      <c r="H27" s="16" t="s">
        <v>196</v>
      </c>
      <c r="I27" s="16" t="s">
        <v>180</v>
      </c>
      <c r="J27" s="16" t="s">
        <v>181</v>
      </c>
      <c r="K27" s="18">
        <v>600</v>
      </c>
      <c r="L27" s="16">
        <v>10</v>
      </c>
      <c r="M27" s="11" t="str">
        <f t="shared" si="0"/>
        <v>April</v>
      </c>
      <c r="N27" s="19">
        <v>5</v>
      </c>
      <c r="O27" s="14">
        <f t="shared" si="1"/>
        <v>3000</v>
      </c>
      <c r="P27" s="15">
        <f t="shared" si="2"/>
        <v>50</v>
      </c>
      <c r="Q27" s="16" t="s">
        <v>8</v>
      </c>
      <c r="R27" s="19">
        <v>4.9000000000000004</v>
      </c>
      <c r="S27" s="16" t="s">
        <v>9</v>
      </c>
    </row>
    <row r="28" spans="1:19" x14ac:dyDescent="0.3">
      <c r="A28" s="11">
        <v>27</v>
      </c>
      <c r="B28" s="11" t="s">
        <v>78</v>
      </c>
      <c r="C28" s="11" t="s">
        <v>79</v>
      </c>
      <c r="D28" s="11" t="s">
        <v>7</v>
      </c>
      <c r="E28" s="11" t="s">
        <v>384</v>
      </c>
      <c r="F28" s="12">
        <v>46126</v>
      </c>
      <c r="G28" s="11" t="s">
        <v>353</v>
      </c>
      <c r="H28" s="11" t="s">
        <v>182</v>
      </c>
      <c r="I28" s="11" t="s">
        <v>186</v>
      </c>
      <c r="J28" s="11" t="s">
        <v>181</v>
      </c>
      <c r="K28" s="13">
        <v>800</v>
      </c>
      <c r="L28" s="11">
        <v>14</v>
      </c>
      <c r="M28" s="11" t="str">
        <f t="shared" si="0"/>
        <v>April</v>
      </c>
      <c r="N28" s="14">
        <v>4</v>
      </c>
      <c r="O28" s="14">
        <f t="shared" si="1"/>
        <v>3200</v>
      </c>
      <c r="P28" s="15">
        <f t="shared" si="2"/>
        <v>28.571428571428569</v>
      </c>
      <c r="Q28" s="11" t="s">
        <v>192</v>
      </c>
      <c r="R28" s="14">
        <v>4.2</v>
      </c>
      <c r="S28" s="11" t="s">
        <v>9</v>
      </c>
    </row>
    <row r="29" spans="1:19" x14ac:dyDescent="0.3">
      <c r="A29" s="16">
        <v>28</v>
      </c>
      <c r="B29" s="16" t="s">
        <v>80</v>
      </c>
      <c r="C29" s="16" t="s">
        <v>81</v>
      </c>
      <c r="D29" s="16" t="s">
        <v>12</v>
      </c>
      <c r="E29" s="16" t="s">
        <v>385</v>
      </c>
      <c r="F29" s="17">
        <v>46126</v>
      </c>
      <c r="G29" s="16" t="s">
        <v>359</v>
      </c>
      <c r="H29" s="16" t="s">
        <v>195</v>
      </c>
      <c r="I29" s="16" t="s">
        <v>189</v>
      </c>
      <c r="J29" s="16" t="s">
        <v>191</v>
      </c>
      <c r="K29" s="18">
        <v>600</v>
      </c>
      <c r="L29" s="16">
        <v>15</v>
      </c>
      <c r="M29" s="11" t="str">
        <f t="shared" si="0"/>
        <v>April</v>
      </c>
      <c r="N29" s="19">
        <v>5</v>
      </c>
      <c r="O29" s="14">
        <f t="shared" si="1"/>
        <v>3000</v>
      </c>
      <c r="P29" s="15">
        <f t="shared" si="2"/>
        <v>33.333333333333329</v>
      </c>
      <c r="Q29" s="16" t="s">
        <v>8</v>
      </c>
      <c r="R29" s="19">
        <v>4.5</v>
      </c>
      <c r="S29" s="16" t="s">
        <v>9</v>
      </c>
    </row>
    <row r="30" spans="1:19" x14ac:dyDescent="0.3">
      <c r="A30" s="11">
        <v>29</v>
      </c>
      <c r="B30" s="11" t="s">
        <v>82</v>
      </c>
      <c r="C30" s="11" t="s">
        <v>83</v>
      </c>
      <c r="D30" s="11" t="s">
        <v>7</v>
      </c>
      <c r="E30" s="11" t="s">
        <v>386</v>
      </c>
      <c r="F30" s="12">
        <v>46127</v>
      </c>
      <c r="G30" s="11" t="s">
        <v>357</v>
      </c>
      <c r="H30" s="11" t="s">
        <v>179</v>
      </c>
      <c r="I30" s="11" t="s">
        <v>190</v>
      </c>
      <c r="J30" s="11" t="s">
        <v>181</v>
      </c>
      <c r="K30" s="13">
        <v>800</v>
      </c>
      <c r="L30" s="11">
        <v>12</v>
      </c>
      <c r="M30" s="11" t="str">
        <f t="shared" si="0"/>
        <v>April</v>
      </c>
      <c r="N30" s="14">
        <v>2</v>
      </c>
      <c r="O30" s="14">
        <f t="shared" si="1"/>
        <v>1600</v>
      </c>
      <c r="P30" s="15">
        <f t="shared" si="2"/>
        <v>16.666666666666664</v>
      </c>
      <c r="Q30" s="11" t="s">
        <v>8</v>
      </c>
      <c r="R30" s="14">
        <v>4.5999999999999996</v>
      </c>
      <c r="S30" s="11" t="s">
        <v>9</v>
      </c>
    </row>
    <row r="31" spans="1:19" x14ac:dyDescent="0.3">
      <c r="A31" s="16">
        <v>30</v>
      </c>
      <c r="B31" s="16" t="s">
        <v>84</v>
      </c>
      <c r="C31" s="16" t="s">
        <v>85</v>
      </c>
      <c r="D31" s="16" t="s">
        <v>12</v>
      </c>
      <c r="E31" s="16" t="s">
        <v>387</v>
      </c>
      <c r="F31" s="17">
        <v>46127</v>
      </c>
      <c r="G31" s="16" t="s">
        <v>43</v>
      </c>
      <c r="H31" s="16" t="s">
        <v>182</v>
      </c>
      <c r="I31" s="16" t="s">
        <v>194</v>
      </c>
      <c r="J31" s="16" t="s">
        <v>181</v>
      </c>
      <c r="K31" s="18">
        <v>900</v>
      </c>
      <c r="L31" s="16">
        <v>12</v>
      </c>
      <c r="M31" s="11" t="str">
        <f t="shared" si="0"/>
        <v>April</v>
      </c>
      <c r="N31" s="19">
        <v>2</v>
      </c>
      <c r="O31" s="14">
        <f t="shared" si="1"/>
        <v>1800</v>
      </c>
      <c r="P31" s="15">
        <f t="shared" si="2"/>
        <v>16.666666666666664</v>
      </c>
      <c r="Q31" s="16" t="s">
        <v>188</v>
      </c>
      <c r="R31" s="19">
        <v>4.8</v>
      </c>
      <c r="S31" s="16" t="s">
        <v>9</v>
      </c>
    </row>
    <row r="32" spans="1:19" x14ac:dyDescent="0.3">
      <c r="A32" s="11">
        <v>31</v>
      </c>
      <c r="B32" s="11" t="s">
        <v>86</v>
      </c>
      <c r="C32" s="11" t="s">
        <v>87</v>
      </c>
      <c r="D32" s="11" t="s">
        <v>7</v>
      </c>
      <c r="E32" s="11" t="s">
        <v>388</v>
      </c>
      <c r="F32" s="12">
        <v>46128</v>
      </c>
      <c r="G32" s="11" t="s">
        <v>358</v>
      </c>
      <c r="H32" s="11" t="s">
        <v>185</v>
      </c>
      <c r="I32" s="11" t="s">
        <v>193</v>
      </c>
      <c r="J32" s="11" t="s">
        <v>187</v>
      </c>
      <c r="K32" s="13">
        <v>900</v>
      </c>
      <c r="L32" s="11">
        <v>18</v>
      </c>
      <c r="M32" s="11" t="str">
        <f t="shared" si="0"/>
        <v>April</v>
      </c>
      <c r="N32" s="14">
        <v>3</v>
      </c>
      <c r="O32" s="14">
        <f t="shared" si="1"/>
        <v>2700</v>
      </c>
      <c r="P32" s="15">
        <f t="shared" si="2"/>
        <v>16.666666666666664</v>
      </c>
      <c r="Q32" s="11" t="s">
        <v>8</v>
      </c>
      <c r="R32" s="14">
        <v>4.4000000000000004</v>
      </c>
      <c r="S32" s="11" t="s">
        <v>9</v>
      </c>
    </row>
    <row r="33" spans="1:19" x14ac:dyDescent="0.3">
      <c r="A33" s="16">
        <v>32</v>
      </c>
      <c r="B33" s="16" t="s">
        <v>88</v>
      </c>
      <c r="C33" s="16" t="s">
        <v>89</v>
      </c>
      <c r="D33" s="16" t="s">
        <v>12</v>
      </c>
      <c r="E33" s="16" t="s">
        <v>389</v>
      </c>
      <c r="F33" s="17">
        <v>46128</v>
      </c>
      <c r="G33" s="16" t="s">
        <v>355</v>
      </c>
      <c r="H33" s="16" t="s">
        <v>182</v>
      </c>
      <c r="I33" s="16" t="s">
        <v>197</v>
      </c>
      <c r="J33" s="16" t="s">
        <v>181</v>
      </c>
      <c r="K33" s="18">
        <v>1500</v>
      </c>
      <c r="L33" s="16">
        <v>12</v>
      </c>
      <c r="M33" s="11" t="str">
        <f t="shared" si="0"/>
        <v>April</v>
      </c>
      <c r="N33" s="19">
        <v>2</v>
      </c>
      <c r="O33" s="14">
        <f t="shared" si="1"/>
        <v>3000</v>
      </c>
      <c r="P33" s="15">
        <f t="shared" si="2"/>
        <v>16.666666666666664</v>
      </c>
      <c r="Q33" s="16" t="s">
        <v>8</v>
      </c>
      <c r="R33" s="19">
        <v>4.7</v>
      </c>
      <c r="S33" s="16" t="s">
        <v>9</v>
      </c>
    </row>
    <row r="34" spans="1:19" x14ac:dyDescent="0.3">
      <c r="A34" s="11">
        <v>33</v>
      </c>
      <c r="B34" s="11" t="s">
        <v>90</v>
      </c>
      <c r="C34" s="11" t="s">
        <v>91</v>
      </c>
      <c r="D34" s="11" t="s">
        <v>7</v>
      </c>
      <c r="E34" s="11" t="s">
        <v>390</v>
      </c>
      <c r="F34" s="12">
        <v>46129</v>
      </c>
      <c r="G34" s="11" t="s">
        <v>40</v>
      </c>
      <c r="H34" s="11" t="s">
        <v>179</v>
      </c>
      <c r="I34" s="11" t="s">
        <v>198</v>
      </c>
      <c r="J34" s="11" t="s">
        <v>181</v>
      </c>
      <c r="K34" s="13">
        <v>400</v>
      </c>
      <c r="L34" s="11">
        <v>16</v>
      </c>
      <c r="M34" s="11" t="str">
        <f t="shared" si="0"/>
        <v>April</v>
      </c>
      <c r="N34" s="14">
        <v>6</v>
      </c>
      <c r="O34" s="14">
        <f t="shared" si="1"/>
        <v>2400</v>
      </c>
      <c r="P34" s="15">
        <f t="shared" si="2"/>
        <v>37.5</v>
      </c>
      <c r="Q34" s="11" t="s">
        <v>192</v>
      </c>
      <c r="R34" s="14">
        <v>4.0999999999999996</v>
      </c>
      <c r="S34" s="11" t="s">
        <v>9</v>
      </c>
    </row>
    <row r="35" spans="1:19" x14ac:dyDescent="0.3">
      <c r="A35" s="16">
        <v>34</v>
      </c>
      <c r="B35" s="16" t="s">
        <v>93</v>
      </c>
      <c r="C35" s="16" t="s">
        <v>94</v>
      </c>
      <c r="D35" s="16" t="s">
        <v>12</v>
      </c>
      <c r="E35" s="16" t="s">
        <v>391</v>
      </c>
      <c r="F35" s="17">
        <v>46129</v>
      </c>
      <c r="G35" s="16" t="s">
        <v>48</v>
      </c>
      <c r="H35" s="16" t="s">
        <v>185</v>
      </c>
      <c r="I35" s="16" t="s">
        <v>199</v>
      </c>
      <c r="J35" s="16" t="s">
        <v>181</v>
      </c>
      <c r="K35" s="18">
        <v>800</v>
      </c>
      <c r="L35" s="16">
        <v>10</v>
      </c>
      <c r="M35" s="11" t="str">
        <f t="shared" si="0"/>
        <v>April</v>
      </c>
      <c r="N35" s="19">
        <v>1</v>
      </c>
      <c r="O35" s="14">
        <f t="shared" si="1"/>
        <v>800</v>
      </c>
      <c r="P35" s="15">
        <f t="shared" si="2"/>
        <v>10</v>
      </c>
      <c r="Q35" s="16" t="s">
        <v>8</v>
      </c>
      <c r="R35" s="19">
        <v>4.5999999999999996</v>
      </c>
      <c r="S35" s="16" t="s">
        <v>9</v>
      </c>
    </row>
    <row r="36" spans="1:19" x14ac:dyDescent="0.3">
      <c r="A36" s="11">
        <v>35</v>
      </c>
      <c r="B36" s="11" t="s">
        <v>95</v>
      </c>
      <c r="C36" s="11" t="s">
        <v>96</v>
      </c>
      <c r="D36" s="11" t="s">
        <v>7</v>
      </c>
      <c r="E36" s="11" t="s">
        <v>392</v>
      </c>
      <c r="F36" s="12">
        <v>46130</v>
      </c>
      <c r="G36" s="11" t="s">
        <v>61</v>
      </c>
      <c r="H36" s="11" t="s">
        <v>185</v>
      </c>
      <c r="I36" s="11" t="s">
        <v>180</v>
      </c>
      <c r="J36" s="11" t="s">
        <v>191</v>
      </c>
      <c r="K36" s="13">
        <v>900</v>
      </c>
      <c r="L36" s="11">
        <v>18</v>
      </c>
      <c r="M36" s="11" t="str">
        <f t="shared" si="0"/>
        <v>April</v>
      </c>
      <c r="N36" s="14">
        <v>3</v>
      </c>
      <c r="O36" s="14">
        <f t="shared" si="1"/>
        <v>2700</v>
      </c>
      <c r="P36" s="15">
        <f t="shared" si="2"/>
        <v>16.666666666666664</v>
      </c>
      <c r="Q36" s="11" t="s">
        <v>188</v>
      </c>
      <c r="R36" s="14">
        <v>4.2</v>
      </c>
      <c r="S36" s="11" t="s">
        <v>9</v>
      </c>
    </row>
    <row r="37" spans="1:19" x14ac:dyDescent="0.3">
      <c r="A37" s="16">
        <v>36</v>
      </c>
      <c r="B37" s="16" t="s">
        <v>97</v>
      </c>
      <c r="C37" s="16" t="s">
        <v>98</v>
      </c>
      <c r="D37" s="16" t="s">
        <v>12</v>
      </c>
      <c r="E37" s="16" t="s">
        <v>393</v>
      </c>
      <c r="F37" s="17">
        <v>46130</v>
      </c>
      <c r="G37" s="16" t="s">
        <v>64</v>
      </c>
      <c r="H37" s="16" t="s">
        <v>182</v>
      </c>
      <c r="I37" s="16" t="s">
        <v>186</v>
      </c>
      <c r="J37" s="16" t="s">
        <v>181</v>
      </c>
      <c r="K37" s="18">
        <v>900</v>
      </c>
      <c r="L37" s="16">
        <v>14</v>
      </c>
      <c r="M37" s="11" t="str">
        <f t="shared" si="0"/>
        <v>April</v>
      </c>
      <c r="N37" s="19">
        <v>4</v>
      </c>
      <c r="O37" s="14">
        <f t="shared" si="1"/>
        <v>3600</v>
      </c>
      <c r="P37" s="15">
        <f t="shared" si="2"/>
        <v>28.571428571428569</v>
      </c>
      <c r="Q37" s="16" t="s">
        <v>8</v>
      </c>
      <c r="R37" s="19">
        <v>4.8</v>
      </c>
      <c r="S37" s="16" t="s">
        <v>9</v>
      </c>
    </row>
    <row r="38" spans="1:19" x14ac:dyDescent="0.3">
      <c r="A38" s="11">
        <v>37</v>
      </c>
      <c r="B38" s="11" t="s">
        <v>99</v>
      </c>
      <c r="C38" s="11" t="s">
        <v>100</v>
      </c>
      <c r="D38" s="11" t="s">
        <v>7</v>
      </c>
      <c r="E38" s="11" t="s">
        <v>394</v>
      </c>
      <c r="F38" s="12">
        <v>46131</v>
      </c>
      <c r="G38" s="11" t="s">
        <v>51</v>
      </c>
      <c r="H38" s="11" t="s">
        <v>185</v>
      </c>
      <c r="I38" s="11" t="s">
        <v>189</v>
      </c>
      <c r="J38" s="11" t="s">
        <v>181</v>
      </c>
      <c r="K38" s="13">
        <v>900</v>
      </c>
      <c r="L38" s="11">
        <v>10</v>
      </c>
      <c r="M38" s="11" t="str">
        <f t="shared" si="0"/>
        <v>April</v>
      </c>
      <c r="N38" s="14">
        <v>1</v>
      </c>
      <c r="O38" s="14">
        <f t="shared" si="1"/>
        <v>900</v>
      </c>
      <c r="P38" s="15">
        <f t="shared" si="2"/>
        <v>10</v>
      </c>
      <c r="Q38" s="11" t="s">
        <v>8</v>
      </c>
      <c r="R38" s="14">
        <v>4.5</v>
      </c>
      <c r="S38" s="11" t="s">
        <v>9</v>
      </c>
    </row>
    <row r="39" spans="1:19" x14ac:dyDescent="0.3">
      <c r="A39" s="16">
        <v>38</v>
      </c>
      <c r="B39" s="16" t="s">
        <v>101</v>
      </c>
      <c r="C39" s="16" t="s">
        <v>102</v>
      </c>
      <c r="D39" s="16" t="s">
        <v>12</v>
      </c>
      <c r="E39" s="16" t="s">
        <v>395</v>
      </c>
      <c r="F39" s="17">
        <v>46131</v>
      </c>
      <c r="G39" s="16" t="s">
        <v>69</v>
      </c>
      <c r="H39" s="16" t="s">
        <v>195</v>
      </c>
      <c r="I39" s="16" t="s">
        <v>190</v>
      </c>
      <c r="J39" s="16" t="s">
        <v>187</v>
      </c>
      <c r="K39" s="18">
        <v>899</v>
      </c>
      <c r="L39" s="16">
        <v>18</v>
      </c>
      <c r="M39" s="11" t="str">
        <f t="shared" si="0"/>
        <v>April</v>
      </c>
      <c r="N39" s="19">
        <v>3</v>
      </c>
      <c r="O39" s="14">
        <f t="shared" si="1"/>
        <v>2697</v>
      </c>
      <c r="P39" s="15">
        <f t="shared" si="2"/>
        <v>16.666666666666664</v>
      </c>
      <c r="Q39" s="16" t="s">
        <v>188</v>
      </c>
      <c r="R39" s="19">
        <v>4.4000000000000004</v>
      </c>
      <c r="S39" s="16" t="s">
        <v>9</v>
      </c>
    </row>
    <row r="40" spans="1:19" x14ac:dyDescent="0.3">
      <c r="A40" s="11">
        <v>39</v>
      </c>
      <c r="B40" s="11" t="s">
        <v>103</v>
      </c>
      <c r="C40" s="11" t="s">
        <v>104</v>
      </c>
      <c r="D40" s="11" t="s">
        <v>7</v>
      </c>
      <c r="E40" s="11" t="s">
        <v>396</v>
      </c>
      <c r="F40" s="12">
        <v>46132</v>
      </c>
      <c r="G40" s="11" t="s">
        <v>105</v>
      </c>
      <c r="H40" s="11" t="s">
        <v>200</v>
      </c>
      <c r="I40" s="11" t="s">
        <v>194</v>
      </c>
      <c r="J40" s="11" t="s">
        <v>181</v>
      </c>
      <c r="K40" s="13">
        <v>500</v>
      </c>
      <c r="L40" s="11">
        <v>12</v>
      </c>
      <c r="M40" s="11" t="str">
        <f t="shared" si="0"/>
        <v>April</v>
      </c>
      <c r="N40" s="14">
        <v>2</v>
      </c>
      <c r="O40" s="14">
        <f t="shared" si="1"/>
        <v>1000</v>
      </c>
      <c r="P40" s="15">
        <f t="shared" si="2"/>
        <v>16.666666666666664</v>
      </c>
      <c r="Q40" s="11" t="s">
        <v>8</v>
      </c>
      <c r="R40" s="14">
        <v>4.9000000000000004</v>
      </c>
      <c r="S40" s="11" t="s">
        <v>9</v>
      </c>
    </row>
    <row r="41" spans="1:19" x14ac:dyDescent="0.3">
      <c r="A41" s="16">
        <v>40</v>
      </c>
      <c r="B41" s="16" t="s">
        <v>106</v>
      </c>
      <c r="C41" s="16" t="s">
        <v>107</v>
      </c>
      <c r="D41" s="16" t="s">
        <v>12</v>
      </c>
      <c r="E41" s="16" t="s">
        <v>397</v>
      </c>
      <c r="F41" s="17">
        <v>46132</v>
      </c>
      <c r="G41" s="16" t="s">
        <v>28</v>
      </c>
      <c r="H41" s="16" t="s">
        <v>179</v>
      </c>
      <c r="I41" s="16" t="s">
        <v>193</v>
      </c>
      <c r="J41" s="16" t="s">
        <v>181</v>
      </c>
      <c r="K41" s="18">
        <v>700</v>
      </c>
      <c r="L41" s="16">
        <v>15</v>
      </c>
      <c r="M41" s="11" t="str">
        <f t="shared" si="0"/>
        <v>April</v>
      </c>
      <c r="N41" s="19">
        <v>5</v>
      </c>
      <c r="O41" s="14">
        <f t="shared" si="1"/>
        <v>3500</v>
      </c>
      <c r="P41" s="15">
        <f t="shared" si="2"/>
        <v>33.333333333333329</v>
      </c>
      <c r="Q41" s="16" t="s">
        <v>192</v>
      </c>
      <c r="R41" s="19">
        <v>4.7</v>
      </c>
      <c r="S41" s="16" t="s">
        <v>9</v>
      </c>
    </row>
    <row r="42" spans="1:19" x14ac:dyDescent="0.3">
      <c r="A42" s="11">
        <v>41</v>
      </c>
      <c r="B42" s="11" t="s">
        <v>108</v>
      </c>
      <c r="C42" s="11" t="s">
        <v>109</v>
      </c>
      <c r="D42" s="11" t="s">
        <v>7</v>
      </c>
      <c r="E42" s="11" t="s">
        <v>398</v>
      </c>
      <c r="F42" s="12">
        <v>46133</v>
      </c>
      <c r="G42" s="11" t="s">
        <v>35</v>
      </c>
      <c r="H42" s="11" t="s">
        <v>182</v>
      </c>
      <c r="I42" s="11" t="s">
        <v>197</v>
      </c>
      <c r="J42" s="11" t="s">
        <v>181</v>
      </c>
      <c r="K42" s="13">
        <v>999</v>
      </c>
      <c r="L42" s="11">
        <v>18</v>
      </c>
      <c r="M42" s="11" t="str">
        <f t="shared" si="0"/>
        <v>April</v>
      </c>
      <c r="N42" s="14">
        <v>3</v>
      </c>
      <c r="O42" s="14">
        <f t="shared" si="1"/>
        <v>2997</v>
      </c>
      <c r="P42" s="15">
        <f t="shared" si="2"/>
        <v>16.666666666666664</v>
      </c>
      <c r="Q42" s="11" t="s">
        <v>8</v>
      </c>
      <c r="R42" s="14">
        <v>4.3</v>
      </c>
      <c r="S42" s="11" t="s">
        <v>9</v>
      </c>
    </row>
    <row r="43" spans="1:19" x14ac:dyDescent="0.3">
      <c r="A43" s="16">
        <v>42</v>
      </c>
      <c r="B43" s="16" t="s">
        <v>110</v>
      </c>
      <c r="C43" s="16" t="s">
        <v>111</v>
      </c>
      <c r="D43" s="16" t="s">
        <v>12</v>
      </c>
      <c r="E43" s="16" t="s">
        <v>399</v>
      </c>
      <c r="F43" s="17">
        <v>46133</v>
      </c>
      <c r="G43" s="16" t="s">
        <v>54</v>
      </c>
      <c r="H43" s="16" t="s">
        <v>185</v>
      </c>
      <c r="I43" s="16" t="s">
        <v>198</v>
      </c>
      <c r="J43" s="16" t="s">
        <v>191</v>
      </c>
      <c r="K43" s="18">
        <v>2999</v>
      </c>
      <c r="L43" s="16">
        <v>12</v>
      </c>
      <c r="M43" s="11" t="str">
        <f t="shared" si="0"/>
        <v>April</v>
      </c>
      <c r="N43" s="19">
        <v>2</v>
      </c>
      <c r="O43" s="14">
        <f t="shared" si="1"/>
        <v>5998</v>
      </c>
      <c r="P43" s="15">
        <f t="shared" si="2"/>
        <v>16.666666666666664</v>
      </c>
      <c r="Q43" s="16" t="s">
        <v>8</v>
      </c>
      <c r="R43" s="19">
        <v>4.0999999999999996</v>
      </c>
      <c r="S43" s="16" t="s">
        <v>9</v>
      </c>
    </row>
    <row r="44" spans="1:19" x14ac:dyDescent="0.3">
      <c r="A44" s="11">
        <v>43</v>
      </c>
      <c r="B44" s="11" t="s">
        <v>112</v>
      </c>
      <c r="C44" s="11" t="s">
        <v>113</v>
      </c>
      <c r="D44" s="11" t="s">
        <v>7</v>
      </c>
      <c r="E44" s="11" t="s">
        <v>400</v>
      </c>
      <c r="F44" s="12">
        <v>46134</v>
      </c>
      <c r="G44" s="11" t="s">
        <v>354</v>
      </c>
      <c r="H44" s="11" t="s">
        <v>179</v>
      </c>
      <c r="I44" s="11" t="s">
        <v>199</v>
      </c>
      <c r="J44" s="11" t="s">
        <v>181</v>
      </c>
      <c r="K44" s="13">
        <v>800</v>
      </c>
      <c r="L44" s="11">
        <v>14</v>
      </c>
      <c r="M44" s="11" t="str">
        <f t="shared" si="0"/>
        <v>April</v>
      </c>
      <c r="N44" s="14">
        <v>4</v>
      </c>
      <c r="O44" s="14">
        <f t="shared" si="1"/>
        <v>3200</v>
      </c>
      <c r="P44" s="15">
        <f t="shared" si="2"/>
        <v>28.571428571428569</v>
      </c>
      <c r="Q44" s="11" t="s">
        <v>188</v>
      </c>
      <c r="R44" s="14">
        <v>4.5999999999999996</v>
      </c>
      <c r="S44" s="11" t="s">
        <v>9</v>
      </c>
    </row>
    <row r="45" spans="1:19" x14ac:dyDescent="0.3">
      <c r="A45" s="16">
        <v>44</v>
      </c>
      <c r="B45" s="16" t="s">
        <v>114</v>
      </c>
      <c r="C45" s="16" t="s">
        <v>115</v>
      </c>
      <c r="D45" s="16" t="s">
        <v>12</v>
      </c>
      <c r="E45" s="16" t="s">
        <v>401</v>
      </c>
      <c r="F45" s="17">
        <v>46134</v>
      </c>
      <c r="G45" s="20" t="s">
        <v>356</v>
      </c>
      <c r="H45" s="16" t="s">
        <v>196</v>
      </c>
      <c r="I45" s="16" t="s">
        <v>180</v>
      </c>
      <c r="J45" s="16" t="s">
        <v>181</v>
      </c>
      <c r="K45" s="18">
        <v>600</v>
      </c>
      <c r="L45" s="16">
        <v>10</v>
      </c>
      <c r="M45" s="11" t="str">
        <f t="shared" si="0"/>
        <v>April</v>
      </c>
      <c r="N45" s="19">
        <v>1</v>
      </c>
      <c r="O45" s="14">
        <f t="shared" si="1"/>
        <v>600</v>
      </c>
      <c r="P45" s="15">
        <f t="shared" si="2"/>
        <v>10</v>
      </c>
      <c r="Q45" s="16" t="s">
        <v>8</v>
      </c>
      <c r="R45" s="19">
        <v>4.8</v>
      </c>
      <c r="S45" s="16" t="s">
        <v>9</v>
      </c>
    </row>
    <row r="46" spans="1:19" x14ac:dyDescent="0.3">
      <c r="A46" s="11">
        <v>45</v>
      </c>
      <c r="B46" s="11" t="s">
        <v>116</v>
      </c>
      <c r="C46" s="11" t="s">
        <v>117</v>
      </c>
      <c r="D46" s="11" t="s">
        <v>7</v>
      </c>
      <c r="E46" s="11" t="s">
        <v>402</v>
      </c>
      <c r="F46" s="12">
        <v>46135</v>
      </c>
      <c r="G46" s="11" t="s">
        <v>353</v>
      </c>
      <c r="H46" s="11" t="s">
        <v>182</v>
      </c>
      <c r="I46" s="11" t="s">
        <v>186</v>
      </c>
      <c r="J46" s="11" t="s">
        <v>187</v>
      </c>
      <c r="K46" s="13">
        <v>800</v>
      </c>
      <c r="L46" s="11">
        <v>15</v>
      </c>
      <c r="M46" s="11" t="str">
        <f t="shared" si="0"/>
        <v>April</v>
      </c>
      <c r="N46" s="14">
        <v>5</v>
      </c>
      <c r="O46" s="14">
        <f t="shared" si="1"/>
        <v>4000</v>
      </c>
      <c r="P46" s="15">
        <f t="shared" si="2"/>
        <v>33.333333333333329</v>
      </c>
      <c r="Q46" s="11" t="s">
        <v>8</v>
      </c>
      <c r="R46" s="14">
        <v>4.4000000000000004</v>
      </c>
      <c r="S46" s="11" t="s">
        <v>9</v>
      </c>
    </row>
    <row r="47" spans="1:19" x14ac:dyDescent="0.3">
      <c r="A47" s="16">
        <v>46</v>
      </c>
      <c r="B47" s="16" t="s">
        <v>118</v>
      </c>
      <c r="C47" s="16" t="s">
        <v>119</v>
      </c>
      <c r="D47" s="16" t="s">
        <v>12</v>
      </c>
      <c r="E47" s="16" t="s">
        <v>403</v>
      </c>
      <c r="F47" s="17">
        <v>46135</v>
      </c>
      <c r="G47" s="16" t="s">
        <v>359</v>
      </c>
      <c r="H47" s="16" t="s">
        <v>195</v>
      </c>
      <c r="I47" s="16" t="s">
        <v>189</v>
      </c>
      <c r="J47" s="16" t="s">
        <v>181</v>
      </c>
      <c r="K47" s="18">
        <v>600</v>
      </c>
      <c r="L47" s="16">
        <v>14</v>
      </c>
      <c r="M47" s="11" t="str">
        <f t="shared" si="0"/>
        <v>April</v>
      </c>
      <c r="N47" s="19">
        <v>4</v>
      </c>
      <c r="O47" s="14">
        <f t="shared" si="1"/>
        <v>2400</v>
      </c>
      <c r="P47" s="15">
        <f t="shared" si="2"/>
        <v>28.571428571428569</v>
      </c>
      <c r="Q47" s="16" t="s">
        <v>192</v>
      </c>
      <c r="R47" s="19">
        <v>4.2</v>
      </c>
      <c r="S47" s="16" t="s">
        <v>9</v>
      </c>
    </row>
    <row r="48" spans="1:19" x14ac:dyDescent="0.3">
      <c r="A48" s="11">
        <v>47</v>
      </c>
      <c r="B48" s="11" t="s">
        <v>121</v>
      </c>
      <c r="C48" s="11" t="s">
        <v>122</v>
      </c>
      <c r="D48" s="11" t="s">
        <v>7</v>
      </c>
      <c r="E48" s="11" t="s">
        <v>404</v>
      </c>
      <c r="F48" s="12">
        <v>46136</v>
      </c>
      <c r="G48" s="11" t="s">
        <v>357</v>
      </c>
      <c r="H48" s="11" t="s">
        <v>185</v>
      </c>
      <c r="I48" s="11" t="s">
        <v>190</v>
      </c>
      <c r="J48" s="11" t="s">
        <v>181</v>
      </c>
      <c r="K48" s="13">
        <v>800</v>
      </c>
      <c r="L48" s="11">
        <v>18</v>
      </c>
      <c r="M48" s="11" t="str">
        <f t="shared" si="0"/>
        <v>April</v>
      </c>
      <c r="N48" s="14">
        <v>3</v>
      </c>
      <c r="O48" s="14">
        <f t="shared" si="1"/>
        <v>2400</v>
      </c>
      <c r="P48" s="15">
        <f t="shared" si="2"/>
        <v>16.666666666666664</v>
      </c>
      <c r="Q48" s="11" t="s">
        <v>8</v>
      </c>
      <c r="R48" s="14">
        <v>4.7</v>
      </c>
      <c r="S48" s="11" t="s">
        <v>9</v>
      </c>
    </row>
    <row r="49" spans="1:19" x14ac:dyDescent="0.3">
      <c r="A49" s="16">
        <v>48</v>
      </c>
      <c r="B49" s="16" t="s">
        <v>123</v>
      </c>
      <c r="C49" s="16" t="s">
        <v>124</v>
      </c>
      <c r="D49" s="16" t="s">
        <v>12</v>
      </c>
      <c r="E49" s="16" t="s">
        <v>405</v>
      </c>
      <c r="F49" s="17">
        <v>46136</v>
      </c>
      <c r="G49" s="16" t="s">
        <v>43</v>
      </c>
      <c r="H49" s="16" t="s">
        <v>179</v>
      </c>
      <c r="I49" s="16" t="s">
        <v>194</v>
      </c>
      <c r="J49" s="16" t="s">
        <v>181</v>
      </c>
      <c r="K49" s="18">
        <v>900</v>
      </c>
      <c r="L49" s="16">
        <v>12</v>
      </c>
      <c r="M49" s="11" t="str">
        <f t="shared" si="0"/>
        <v>April</v>
      </c>
      <c r="N49" s="19">
        <v>2</v>
      </c>
      <c r="O49" s="14">
        <f t="shared" si="1"/>
        <v>1800</v>
      </c>
      <c r="P49" s="15">
        <f t="shared" si="2"/>
        <v>16.666666666666664</v>
      </c>
      <c r="Q49" s="16" t="s">
        <v>8</v>
      </c>
      <c r="R49" s="19">
        <v>4.9000000000000004</v>
      </c>
      <c r="S49" s="16" t="s">
        <v>9</v>
      </c>
    </row>
    <row r="50" spans="1:19" x14ac:dyDescent="0.3">
      <c r="A50" s="11">
        <v>49</v>
      </c>
      <c r="B50" s="11" t="s">
        <v>125</v>
      </c>
      <c r="C50" s="11" t="s">
        <v>126</v>
      </c>
      <c r="D50" s="11" t="s">
        <v>7</v>
      </c>
      <c r="E50" s="11" t="s">
        <v>406</v>
      </c>
      <c r="F50" s="12">
        <v>46137</v>
      </c>
      <c r="G50" s="11" t="s">
        <v>358</v>
      </c>
      <c r="H50" s="11" t="s">
        <v>182</v>
      </c>
      <c r="I50" s="11" t="s">
        <v>193</v>
      </c>
      <c r="J50" s="11" t="s">
        <v>191</v>
      </c>
      <c r="K50" s="13">
        <v>900</v>
      </c>
      <c r="L50" s="11">
        <v>14</v>
      </c>
      <c r="M50" s="11" t="str">
        <f t="shared" si="0"/>
        <v>April</v>
      </c>
      <c r="N50" s="14">
        <v>4</v>
      </c>
      <c r="O50" s="14">
        <f t="shared" si="1"/>
        <v>3600</v>
      </c>
      <c r="P50" s="15">
        <f t="shared" si="2"/>
        <v>28.571428571428569</v>
      </c>
      <c r="Q50" s="11" t="s">
        <v>188</v>
      </c>
      <c r="R50" s="14">
        <v>4.0999999999999996</v>
      </c>
      <c r="S50" s="11" t="s">
        <v>9</v>
      </c>
    </row>
    <row r="51" spans="1:19" x14ac:dyDescent="0.3">
      <c r="A51" s="16">
        <v>50</v>
      </c>
      <c r="B51" s="16" t="s">
        <v>127</v>
      </c>
      <c r="C51" s="16" t="s">
        <v>128</v>
      </c>
      <c r="D51" s="16" t="s">
        <v>12</v>
      </c>
      <c r="E51" s="16" t="s">
        <v>407</v>
      </c>
      <c r="F51" s="17">
        <v>46137</v>
      </c>
      <c r="G51" s="16" t="s">
        <v>355</v>
      </c>
      <c r="H51" s="16" t="s">
        <v>185</v>
      </c>
      <c r="I51" s="16" t="s">
        <v>197</v>
      </c>
      <c r="J51" s="16" t="s">
        <v>181</v>
      </c>
      <c r="K51" s="18">
        <v>1500</v>
      </c>
      <c r="L51" s="16">
        <v>12</v>
      </c>
      <c r="M51" s="11" t="str">
        <f t="shared" si="0"/>
        <v>April</v>
      </c>
      <c r="N51" s="19">
        <v>2</v>
      </c>
      <c r="O51" s="14">
        <f t="shared" si="1"/>
        <v>3000</v>
      </c>
      <c r="P51" s="15">
        <f t="shared" si="2"/>
        <v>16.666666666666664</v>
      </c>
      <c r="Q51" s="16" t="s">
        <v>8</v>
      </c>
      <c r="R51" s="19">
        <v>4.8</v>
      </c>
      <c r="S51" s="16" t="s">
        <v>9</v>
      </c>
    </row>
    <row r="52" spans="1:19" x14ac:dyDescent="0.3">
      <c r="A52" s="11">
        <v>51</v>
      </c>
      <c r="B52" s="11" t="s">
        <v>129</v>
      </c>
      <c r="C52" s="11" t="s">
        <v>130</v>
      </c>
      <c r="D52" s="11" t="s">
        <v>7</v>
      </c>
      <c r="E52" s="11" t="s">
        <v>408</v>
      </c>
      <c r="F52" s="12">
        <v>46138</v>
      </c>
      <c r="G52" s="11" t="s">
        <v>40</v>
      </c>
      <c r="H52" s="11" t="s">
        <v>179</v>
      </c>
      <c r="I52" s="11" t="s">
        <v>198</v>
      </c>
      <c r="J52" s="11" t="s">
        <v>181</v>
      </c>
      <c r="K52" s="13">
        <v>400</v>
      </c>
      <c r="L52" s="11">
        <v>10</v>
      </c>
      <c r="M52" s="11" t="str">
        <f t="shared" si="0"/>
        <v>April</v>
      </c>
      <c r="N52" s="14">
        <v>7</v>
      </c>
      <c r="O52" s="14">
        <f t="shared" si="1"/>
        <v>2800</v>
      </c>
      <c r="P52" s="15">
        <f t="shared" si="2"/>
        <v>70</v>
      </c>
      <c r="Q52" s="11" t="s">
        <v>8</v>
      </c>
      <c r="R52" s="14">
        <v>4.5</v>
      </c>
      <c r="S52" s="11" t="s">
        <v>9</v>
      </c>
    </row>
    <row r="53" spans="1:19" x14ac:dyDescent="0.3">
      <c r="A53" s="16">
        <v>52</v>
      </c>
      <c r="B53" s="16" t="s">
        <v>131</v>
      </c>
      <c r="C53" s="16" t="s">
        <v>132</v>
      </c>
      <c r="D53" s="16" t="s">
        <v>12</v>
      </c>
      <c r="E53" s="16" t="s">
        <v>409</v>
      </c>
      <c r="F53" s="17">
        <v>46138</v>
      </c>
      <c r="G53" s="16" t="s">
        <v>48</v>
      </c>
      <c r="H53" s="16" t="s">
        <v>185</v>
      </c>
      <c r="I53" s="16" t="s">
        <v>199</v>
      </c>
      <c r="J53" s="16" t="s">
        <v>181</v>
      </c>
      <c r="K53" s="18">
        <v>800</v>
      </c>
      <c r="L53" s="16">
        <v>12</v>
      </c>
      <c r="M53" s="11" t="str">
        <f t="shared" si="0"/>
        <v>April</v>
      </c>
      <c r="N53" s="19">
        <v>2</v>
      </c>
      <c r="O53" s="14">
        <f t="shared" si="1"/>
        <v>1600</v>
      </c>
      <c r="P53" s="15">
        <f t="shared" si="2"/>
        <v>16.666666666666664</v>
      </c>
      <c r="Q53" s="16" t="s">
        <v>192</v>
      </c>
      <c r="R53" s="19">
        <v>4.9000000000000004</v>
      </c>
      <c r="S53" s="16" t="s">
        <v>9</v>
      </c>
    </row>
    <row r="54" spans="1:19" x14ac:dyDescent="0.3">
      <c r="A54" s="11">
        <v>53</v>
      </c>
      <c r="B54" s="11" t="s">
        <v>134</v>
      </c>
      <c r="C54" s="11" t="s">
        <v>135</v>
      </c>
      <c r="D54" s="11" t="s">
        <v>7</v>
      </c>
      <c r="E54" s="11" t="s">
        <v>410</v>
      </c>
      <c r="F54" s="12">
        <v>46139</v>
      </c>
      <c r="G54" s="11" t="s">
        <v>61</v>
      </c>
      <c r="H54" s="11" t="s">
        <v>179</v>
      </c>
      <c r="I54" s="11" t="s">
        <v>180</v>
      </c>
      <c r="J54" s="11" t="s">
        <v>187</v>
      </c>
      <c r="K54" s="13">
        <v>900</v>
      </c>
      <c r="L54" s="11">
        <v>18</v>
      </c>
      <c r="M54" s="11" t="str">
        <f t="shared" si="0"/>
        <v>April</v>
      </c>
      <c r="N54" s="14">
        <v>3</v>
      </c>
      <c r="O54" s="14">
        <f t="shared" si="1"/>
        <v>2700</v>
      </c>
      <c r="P54" s="15">
        <f t="shared" si="2"/>
        <v>16.666666666666664</v>
      </c>
      <c r="Q54" s="11" t="s">
        <v>8</v>
      </c>
      <c r="R54" s="14">
        <v>4.2</v>
      </c>
      <c r="S54" s="11" t="s">
        <v>9</v>
      </c>
    </row>
    <row r="55" spans="1:19" x14ac:dyDescent="0.3">
      <c r="A55" s="16">
        <v>54</v>
      </c>
      <c r="B55" s="16" t="s">
        <v>136</v>
      </c>
      <c r="C55" s="16" t="s">
        <v>137</v>
      </c>
      <c r="D55" s="16" t="s">
        <v>12</v>
      </c>
      <c r="E55" s="16" t="s">
        <v>411</v>
      </c>
      <c r="F55" s="17">
        <v>46139</v>
      </c>
      <c r="G55" s="16" t="s">
        <v>64</v>
      </c>
      <c r="H55" s="16" t="s">
        <v>182</v>
      </c>
      <c r="I55" s="16" t="s">
        <v>186</v>
      </c>
      <c r="J55" s="16" t="s">
        <v>181</v>
      </c>
      <c r="K55" s="18">
        <v>900</v>
      </c>
      <c r="L55" s="16">
        <v>15</v>
      </c>
      <c r="M55" s="11" t="str">
        <f t="shared" si="0"/>
        <v>April</v>
      </c>
      <c r="N55" s="19">
        <v>5</v>
      </c>
      <c r="O55" s="14">
        <f t="shared" si="1"/>
        <v>4500</v>
      </c>
      <c r="P55" s="15">
        <f t="shared" si="2"/>
        <v>33.333333333333329</v>
      </c>
      <c r="Q55" s="16" t="s">
        <v>8</v>
      </c>
      <c r="R55" s="19">
        <v>4.7</v>
      </c>
      <c r="S55" s="16" t="s">
        <v>9</v>
      </c>
    </row>
    <row r="56" spans="1:19" x14ac:dyDescent="0.3">
      <c r="A56" s="11">
        <v>55</v>
      </c>
      <c r="B56" s="11" t="s">
        <v>138</v>
      </c>
      <c r="C56" s="11" t="s">
        <v>139</v>
      </c>
      <c r="D56" s="11" t="s">
        <v>7</v>
      </c>
      <c r="E56" s="11" t="s">
        <v>412</v>
      </c>
      <c r="F56" s="12">
        <v>46140</v>
      </c>
      <c r="G56" s="11" t="s">
        <v>51</v>
      </c>
      <c r="H56" s="11" t="s">
        <v>200</v>
      </c>
      <c r="I56" s="11" t="s">
        <v>189</v>
      </c>
      <c r="J56" s="11" t="s">
        <v>181</v>
      </c>
      <c r="K56" s="13">
        <v>900</v>
      </c>
      <c r="L56" s="11">
        <v>12</v>
      </c>
      <c r="M56" s="11" t="str">
        <f t="shared" si="0"/>
        <v>April</v>
      </c>
      <c r="N56" s="14">
        <v>2</v>
      </c>
      <c r="O56" s="14">
        <f t="shared" si="1"/>
        <v>1800</v>
      </c>
      <c r="P56" s="15">
        <f t="shared" si="2"/>
        <v>16.666666666666664</v>
      </c>
      <c r="Q56" s="11" t="s">
        <v>188</v>
      </c>
      <c r="R56" s="14">
        <v>4.8</v>
      </c>
      <c r="S56" s="11" t="s">
        <v>9</v>
      </c>
    </row>
    <row r="57" spans="1:19" x14ac:dyDescent="0.3">
      <c r="A57" s="16">
        <v>56</v>
      </c>
      <c r="B57" s="16" t="s">
        <v>140</v>
      </c>
      <c r="C57" s="16" t="s">
        <v>141</v>
      </c>
      <c r="D57" s="16" t="s">
        <v>12</v>
      </c>
      <c r="E57" s="16" t="s">
        <v>413</v>
      </c>
      <c r="F57" s="17">
        <v>46140</v>
      </c>
      <c r="G57" s="16" t="s">
        <v>69</v>
      </c>
      <c r="H57" s="16" t="s">
        <v>195</v>
      </c>
      <c r="I57" s="16" t="s">
        <v>190</v>
      </c>
      <c r="J57" s="16" t="s">
        <v>191</v>
      </c>
      <c r="K57" s="18">
        <v>899</v>
      </c>
      <c r="L57" s="16">
        <v>14</v>
      </c>
      <c r="M57" s="11" t="str">
        <f t="shared" si="0"/>
        <v>April</v>
      </c>
      <c r="N57" s="19">
        <v>4</v>
      </c>
      <c r="O57" s="14">
        <f t="shared" si="1"/>
        <v>3596</v>
      </c>
      <c r="P57" s="15">
        <f t="shared" si="2"/>
        <v>28.571428571428569</v>
      </c>
      <c r="Q57" s="16" t="s">
        <v>192</v>
      </c>
      <c r="R57" s="19">
        <v>4.2</v>
      </c>
      <c r="S57" s="16" t="s">
        <v>9</v>
      </c>
    </row>
    <row r="58" spans="1:19" x14ac:dyDescent="0.3">
      <c r="A58" s="11">
        <v>57</v>
      </c>
      <c r="B58" s="11" t="s">
        <v>142</v>
      </c>
      <c r="C58" s="11" t="s">
        <v>143</v>
      </c>
      <c r="D58" s="11" t="s">
        <v>7</v>
      </c>
      <c r="E58" s="11" t="s">
        <v>414</v>
      </c>
      <c r="F58" s="12">
        <v>46141</v>
      </c>
      <c r="G58" s="11" t="s">
        <v>105</v>
      </c>
      <c r="H58" s="11" t="s">
        <v>185</v>
      </c>
      <c r="I58" s="11" t="s">
        <v>194</v>
      </c>
      <c r="J58" s="11" t="s">
        <v>181</v>
      </c>
      <c r="K58" s="13">
        <v>500</v>
      </c>
      <c r="L58" s="11">
        <v>18</v>
      </c>
      <c r="M58" s="11" t="str">
        <f t="shared" si="0"/>
        <v>April</v>
      </c>
      <c r="N58" s="14">
        <v>3</v>
      </c>
      <c r="O58" s="14">
        <f t="shared" si="1"/>
        <v>1500</v>
      </c>
      <c r="P58" s="15">
        <f t="shared" si="2"/>
        <v>16.666666666666664</v>
      </c>
      <c r="Q58" s="11" t="s">
        <v>8</v>
      </c>
      <c r="R58" s="14">
        <v>4.9000000000000004</v>
      </c>
      <c r="S58" s="11" t="s">
        <v>9</v>
      </c>
    </row>
    <row r="59" spans="1:19" x14ac:dyDescent="0.3">
      <c r="A59" s="16">
        <v>58</v>
      </c>
      <c r="B59" s="16" t="s">
        <v>144</v>
      </c>
      <c r="C59" s="16" t="s">
        <v>145</v>
      </c>
      <c r="D59" s="16" t="s">
        <v>12</v>
      </c>
      <c r="E59" s="16" t="s">
        <v>415</v>
      </c>
      <c r="F59" s="17">
        <v>46141</v>
      </c>
      <c r="G59" s="16" t="s">
        <v>28</v>
      </c>
      <c r="H59" s="16" t="s">
        <v>182</v>
      </c>
      <c r="I59" s="16" t="s">
        <v>193</v>
      </c>
      <c r="J59" s="16" t="s">
        <v>181</v>
      </c>
      <c r="K59" s="18">
        <v>700</v>
      </c>
      <c r="L59" s="16">
        <v>16</v>
      </c>
      <c r="M59" s="11" t="str">
        <f t="shared" si="0"/>
        <v>April</v>
      </c>
      <c r="N59" s="19">
        <v>6</v>
      </c>
      <c r="O59" s="14">
        <f t="shared" si="1"/>
        <v>4200</v>
      </c>
      <c r="P59" s="15">
        <f t="shared" si="2"/>
        <v>37.5</v>
      </c>
      <c r="Q59" s="16" t="s">
        <v>8</v>
      </c>
      <c r="R59" s="19">
        <v>4.8</v>
      </c>
      <c r="S59" s="16" t="s">
        <v>9</v>
      </c>
    </row>
    <row r="60" spans="1:19" x14ac:dyDescent="0.3">
      <c r="A60" s="11">
        <v>59</v>
      </c>
      <c r="B60" s="11" t="s">
        <v>146</v>
      </c>
      <c r="C60" s="11" t="s">
        <v>147</v>
      </c>
      <c r="D60" s="11" t="s">
        <v>7</v>
      </c>
      <c r="E60" s="11" t="s">
        <v>360</v>
      </c>
      <c r="F60" s="12">
        <v>46141</v>
      </c>
      <c r="G60" s="11" t="s">
        <v>51</v>
      </c>
      <c r="H60" s="11" t="s">
        <v>179</v>
      </c>
      <c r="I60" s="11" t="s">
        <v>197</v>
      </c>
      <c r="J60" s="11" t="s">
        <v>181</v>
      </c>
      <c r="K60" s="13">
        <v>900</v>
      </c>
      <c r="L60" s="11">
        <v>14</v>
      </c>
      <c r="M60" s="11" t="str">
        <f t="shared" si="0"/>
        <v>April</v>
      </c>
      <c r="N60" s="14">
        <v>4</v>
      </c>
      <c r="O60" s="14">
        <f t="shared" si="1"/>
        <v>3600</v>
      </c>
      <c r="P60" s="15">
        <f t="shared" si="2"/>
        <v>28.571428571428569</v>
      </c>
      <c r="Q60" s="11" t="s">
        <v>188</v>
      </c>
      <c r="R60" s="14">
        <v>4.4000000000000004</v>
      </c>
      <c r="S60" s="11" t="s">
        <v>9</v>
      </c>
    </row>
    <row r="61" spans="1:19" x14ac:dyDescent="0.3">
      <c r="A61" s="16">
        <v>60</v>
      </c>
      <c r="B61" s="16" t="s">
        <v>148</v>
      </c>
      <c r="C61" s="16" t="s">
        <v>149</v>
      </c>
      <c r="D61" s="16" t="s">
        <v>12</v>
      </c>
      <c r="E61" s="16" t="s">
        <v>361</v>
      </c>
      <c r="F61" s="17">
        <v>46142</v>
      </c>
      <c r="G61" s="16" t="s">
        <v>54</v>
      </c>
      <c r="H61" s="16" t="s">
        <v>185</v>
      </c>
      <c r="I61" s="16" t="s">
        <v>198</v>
      </c>
      <c r="J61" s="16" t="s">
        <v>187</v>
      </c>
      <c r="K61" s="18">
        <v>2999</v>
      </c>
      <c r="L61" s="16">
        <v>18</v>
      </c>
      <c r="M61" s="11" t="str">
        <f t="shared" si="0"/>
        <v>April</v>
      </c>
      <c r="N61" s="19">
        <v>3</v>
      </c>
      <c r="O61" s="14">
        <f t="shared" si="1"/>
        <v>8997</v>
      </c>
      <c r="P61" s="15">
        <f t="shared" si="2"/>
        <v>16.666666666666664</v>
      </c>
      <c r="Q61" s="16" t="s">
        <v>8</v>
      </c>
      <c r="R61" s="19">
        <v>4.5</v>
      </c>
      <c r="S61" s="16" t="s">
        <v>9</v>
      </c>
    </row>
    <row r="62" spans="1:19" x14ac:dyDescent="0.3">
      <c r="A62" s="11">
        <v>61</v>
      </c>
      <c r="B62" s="11" t="s">
        <v>150</v>
      </c>
      <c r="C62" s="11" t="s">
        <v>151</v>
      </c>
      <c r="D62" s="11" t="s">
        <v>7</v>
      </c>
      <c r="E62" s="11" t="s">
        <v>416</v>
      </c>
      <c r="F62" s="12">
        <v>46142</v>
      </c>
      <c r="G62" s="11" t="s">
        <v>357</v>
      </c>
      <c r="H62" s="11" t="s">
        <v>179</v>
      </c>
      <c r="I62" s="11" t="s">
        <v>180</v>
      </c>
      <c r="J62" s="11" t="s">
        <v>181</v>
      </c>
      <c r="K62" s="13">
        <v>800</v>
      </c>
      <c r="L62" s="11">
        <v>18</v>
      </c>
      <c r="M62" s="11" t="str">
        <f t="shared" si="0"/>
        <v>April</v>
      </c>
      <c r="N62" s="14">
        <v>3</v>
      </c>
      <c r="O62" s="14">
        <f t="shared" si="1"/>
        <v>2400</v>
      </c>
      <c r="P62" s="15">
        <f t="shared" si="2"/>
        <v>16.666666666666664</v>
      </c>
      <c r="Q62" s="11" t="s">
        <v>8</v>
      </c>
      <c r="R62" s="14">
        <v>4.5</v>
      </c>
      <c r="S62" s="11" t="s">
        <v>9</v>
      </c>
    </row>
    <row r="63" spans="1:19" x14ac:dyDescent="0.3">
      <c r="A63" s="16">
        <v>62</v>
      </c>
      <c r="B63" s="16" t="s">
        <v>152</v>
      </c>
      <c r="C63" s="16" t="s">
        <v>153</v>
      </c>
      <c r="D63" s="16" t="s">
        <v>12</v>
      </c>
      <c r="E63" s="16" t="s">
        <v>417</v>
      </c>
      <c r="F63" s="17">
        <v>46142</v>
      </c>
      <c r="G63" s="16" t="s">
        <v>69</v>
      </c>
      <c r="H63" s="16" t="s">
        <v>182</v>
      </c>
      <c r="I63" s="16" t="s">
        <v>197</v>
      </c>
      <c r="J63" s="16" t="s">
        <v>181</v>
      </c>
      <c r="K63" s="18">
        <v>899</v>
      </c>
      <c r="L63" s="16">
        <v>12</v>
      </c>
      <c r="M63" s="11" t="str">
        <f t="shared" si="0"/>
        <v>April</v>
      </c>
      <c r="N63" s="19">
        <v>2</v>
      </c>
      <c r="O63" s="14">
        <f t="shared" si="1"/>
        <v>1798</v>
      </c>
      <c r="P63" s="15">
        <f t="shared" si="2"/>
        <v>16.666666666666664</v>
      </c>
      <c r="Q63" s="16" t="s">
        <v>8</v>
      </c>
      <c r="R63" s="19">
        <v>4.8</v>
      </c>
      <c r="S63" s="16" t="s">
        <v>9</v>
      </c>
    </row>
    <row r="64" spans="1:19" x14ac:dyDescent="0.3">
      <c r="A64" s="11">
        <v>63</v>
      </c>
      <c r="B64" s="11" t="s">
        <v>154</v>
      </c>
      <c r="C64" s="11" t="s">
        <v>155</v>
      </c>
      <c r="D64" s="11" t="s">
        <v>7</v>
      </c>
      <c r="E64" s="11" t="s">
        <v>418</v>
      </c>
      <c r="F64" s="12">
        <v>46143</v>
      </c>
      <c r="G64" s="11" t="s">
        <v>35</v>
      </c>
      <c r="H64" s="11" t="s">
        <v>185</v>
      </c>
      <c r="I64" s="11" t="s">
        <v>194</v>
      </c>
      <c r="J64" s="11" t="s">
        <v>187</v>
      </c>
      <c r="K64" s="13">
        <v>999</v>
      </c>
      <c r="L64" s="11">
        <v>12</v>
      </c>
      <c r="M64" s="11" t="str">
        <f t="shared" si="0"/>
        <v>May</v>
      </c>
      <c r="N64" s="14">
        <v>2</v>
      </c>
      <c r="O64" s="14">
        <f t="shared" si="1"/>
        <v>1998</v>
      </c>
      <c r="P64" s="15">
        <f t="shared" si="2"/>
        <v>16.666666666666664</v>
      </c>
      <c r="Q64" s="11" t="s">
        <v>188</v>
      </c>
      <c r="R64" s="14">
        <v>4.2</v>
      </c>
      <c r="S64" s="11" t="s">
        <v>9</v>
      </c>
    </row>
    <row r="65" spans="1:19" x14ac:dyDescent="0.3">
      <c r="A65" s="16">
        <v>64</v>
      </c>
      <c r="B65" s="16" t="s">
        <v>156</v>
      </c>
      <c r="C65" s="16" t="s">
        <v>157</v>
      </c>
      <c r="D65" s="16" t="s">
        <v>12</v>
      </c>
      <c r="E65" s="16" t="s">
        <v>419</v>
      </c>
      <c r="F65" s="17">
        <v>46143</v>
      </c>
      <c r="G65" s="16" t="s">
        <v>359</v>
      </c>
      <c r="H65" s="16" t="s">
        <v>179</v>
      </c>
      <c r="I65" s="16" t="s">
        <v>193</v>
      </c>
      <c r="J65" s="16" t="s">
        <v>181</v>
      </c>
      <c r="K65" s="18">
        <v>600</v>
      </c>
      <c r="L65" s="16">
        <v>10</v>
      </c>
      <c r="M65" s="11" t="str">
        <f t="shared" si="0"/>
        <v>May</v>
      </c>
      <c r="N65" s="19">
        <v>5</v>
      </c>
      <c r="O65" s="14">
        <f t="shared" si="1"/>
        <v>3000</v>
      </c>
      <c r="P65" s="15">
        <f t="shared" si="2"/>
        <v>50</v>
      </c>
      <c r="Q65" s="16" t="s">
        <v>8</v>
      </c>
      <c r="R65" s="19">
        <v>4.7</v>
      </c>
      <c r="S65" s="16" t="s">
        <v>9</v>
      </c>
    </row>
    <row r="66" spans="1:19" x14ac:dyDescent="0.3">
      <c r="A66" s="11">
        <v>65</v>
      </c>
      <c r="B66" s="11" t="s">
        <v>158</v>
      </c>
      <c r="C66" s="11" t="s">
        <v>159</v>
      </c>
      <c r="D66" s="11" t="s">
        <v>7</v>
      </c>
      <c r="E66" s="11" t="s">
        <v>420</v>
      </c>
      <c r="F66" s="12">
        <v>46144</v>
      </c>
      <c r="G66" s="11" t="s">
        <v>28</v>
      </c>
      <c r="H66" s="11" t="s">
        <v>185</v>
      </c>
      <c r="I66" s="11" t="s">
        <v>189</v>
      </c>
      <c r="J66" s="11" t="s">
        <v>191</v>
      </c>
      <c r="K66" s="13">
        <v>700</v>
      </c>
      <c r="L66" s="11">
        <v>12</v>
      </c>
      <c r="M66" s="11" t="str">
        <f t="shared" si="0"/>
        <v>May</v>
      </c>
      <c r="N66" s="14">
        <v>2</v>
      </c>
      <c r="O66" s="14">
        <f t="shared" si="1"/>
        <v>1400</v>
      </c>
      <c r="P66" s="15">
        <f t="shared" si="2"/>
        <v>16.666666666666664</v>
      </c>
      <c r="Q66" s="11" t="s">
        <v>192</v>
      </c>
      <c r="R66" s="14">
        <v>4.0999999999999996</v>
      </c>
      <c r="S66" s="11" t="s">
        <v>9</v>
      </c>
    </row>
    <row r="67" spans="1:19" x14ac:dyDescent="0.3">
      <c r="A67" s="16">
        <v>66</v>
      </c>
      <c r="B67" s="16" t="s">
        <v>160</v>
      </c>
      <c r="C67" s="16" t="s">
        <v>161</v>
      </c>
      <c r="D67" s="16" t="s">
        <v>12</v>
      </c>
      <c r="E67" s="16" t="s">
        <v>421</v>
      </c>
      <c r="F67" s="17">
        <v>46144</v>
      </c>
      <c r="G67" s="16" t="s">
        <v>54</v>
      </c>
      <c r="H67" s="16" t="s">
        <v>196</v>
      </c>
      <c r="I67" s="16" t="s">
        <v>199</v>
      </c>
      <c r="J67" s="16" t="s">
        <v>181</v>
      </c>
      <c r="K67" s="18">
        <v>2999</v>
      </c>
      <c r="L67" s="16">
        <v>10</v>
      </c>
      <c r="M67" s="11" t="str">
        <f t="shared" ref="M67:M130" si="3">TEXT(F67,"mmmm")</f>
        <v>May</v>
      </c>
      <c r="N67" s="19">
        <v>1</v>
      </c>
      <c r="O67" s="14">
        <f t="shared" ref="O67:O130" si="4">K67*N67</f>
        <v>2999</v>
      </c>
      <c r="P67" s="15">
        <f t="shared" ref="P67:P130" si="5">N67/L67*100</f>
        <v>10</v>
      </c>
      <c r="Q67" s="16" t="s">
        <v>8</v>
      </c>
      <c r="R67" s="19">
        <v>4.9000000000000004</v>
      </c>
      <c r="S67" s="16" t="s">
        <v>9</v>
      </c>
    </row>
    <row r="68" spans="1:19" x14ac:dyDescent="0.3">
      <c r="A68" s="11">
        <v>67</v>
      </c>
      <c r="B68" s="11" t="s">
        <v>162</v>
      </c>
      <c r="C68" s="11" t="s">
        <v>163</v>
      </c>
      <c r="D68" s="11" t="s">
        <v>7</v>
      </c>
      <c r="E68" s="11" t="s">
        <v>422</v>
      </c>
      <c r="F68" s="12">
        <v>46145</v>
      </c>
      <c r="G68" s="11" t="s">
        <v>352</v>
      </c>
      <c r="H68" s="11" t="s">
        <v>182</v>
      </c>
      <c r="I68" s="11" t="s">
        <v>186</v>
      </c>
      <c r="J68" s="11" t="s">
        <v>181</v>
      </c>
      <c r="K68" s="13">
        <v>600</v>
      </c>
      <c r="L68" s="11">
        <v>15</v>
      </c>
      <c r="M68" s="11" t="str">
        <f t="shared" si="3"/>
        <v>May</v>
      </c>
      <c r="N68" s="14">
        <v>5</v>
      </c>
      <c r="O68" s="14">
        <f t="shared" si="4"/>
        <v>3000</v>
      </c>
      <c r="P68" s="15">
        <f t="shared" si="5"/>
        <v>33.333333333333329</v>
      </c>
      <c r="Q68" s="11" t="s">
        <v>8</v>
      </c>
      <c r="R68" s="14">
        <v>4.4000000000000004</v>
      </c>
      <c r="S68" s="11" t="s">
        <v>9</v>
      </c>
    </row>
    <row r="69" spans="1:19" x14ac:dyDescent="0.3">
      <c r="A69" s="16">
        <v>68</v>
      </c>
      <c r="B69" s="16" t="s">
        <v>164</v>
      </c>
      <c r="C69" s="16" t="s">
        <v>165</v>
      </c>
      <c r="D69" s="16" t="s">
        <v>12</v>
      </c>
      <c r="E69" s="16" t="s">
        <v>423</v>
      </c>
      <c r="F69" s="17">
        <v>46145</v>
      </c>
      <c r="G69" s="16" t="s">
        <v>48</v>
      </c>
      <c r="H69" s="16" t="s">
        <v>179</v>
      </c>
      <c r="I69" s="16" t="s">
        <v>190</v>
      </c>
      <c r="J69" s="16" t="s">
        <v>187</v>
      </c>
      <c r="K69" s="18">
        <v>800</v>
      </c>
      <c r="L69" s="16">
        <v>18</v>
      </c>
      <c r="M69" s="11" t="str">
        <f t="shared" si="3"/>
        <v>May</v>
      </c>
      <c r="N69" s="19">
        <v>3</v>
      </c>
      <c r="O69" s="14">
        <f t="shared" si="4"/>
        <v>2400</v>
      </c>
      <c r="P69" s="15">
        <f t="shared" si="5"/>
        <v>16.666666666666664</v>
      </c>
      <c r="Q69" s="16" t="s">
        <v>188</v>
      </c>
      <c r="R69" s="19">
        <v>4.5999999999999996</v>
      </c>
      <c r="S69" s="16" t="s">
        <v>9</v>
      </c>
    </row>
    <row r="70" spans="1:19" x14ac:dyDescent="0.3">
      <c r="A70" s="11">
        <v>69</v>
      </c>
      <c r="B70" s="11" t="s">
        <v>166</v>
      </c>
      <c r="C70" s="11" t="s">
        <v>167</v>
      </c>
      <c r="D70" s="11" t="s">
        <v>7</v>
      </c>
      <c r="E70" s="11" t="s">
        <v>424</v>
      </c>
      <c r="F70" s="12">
        <v>46146</v>
      </c>
      <c r="G70" s="11" t="s">
        <v>51</v>
      </c>
      <c r="H70" s="11" t="s">
        <v>200</v>
      </c>
      <c r="I70" s="11" t="s">
        <v>183</v>
      </c>
      <c r="J70" s="11" t="s">
        <v>181</v>
      </c>
      <c r="K70" s="13">
        <v>900</v>
      </c>
      <c r="L70" s="11">
        <v>12</v>
      </c>
      <c r="M70" s="11" t="str">
        <f t="shared" si="3"/>
        <v>May</v>
      </c>
      <c r="N70" s="14">
        <v>2</v>
      </c>
      <c r="O70" s="14">
        <f t="shared" si="4"/>
        <v>1800</v>
      </c>
      <c r="P70" s="15">
        <f t="shared" si="5"/>
        <v>16.666666666666664</v>
      </c>
      <c r="Q70" s="11" t="s">
        <v>8</v>
      </c>
      <c r="R70" s="14">
        <v>4.8</v>
      </c>
      <c r="S70" s="11" t="s">
        <v>9</v>
      </c>
    </row>
    <row r="71" spans="1:19" x14ac:dyDescent="0.3">
      <c r="A71" s="16">
        <v>70</v>
      </c>
      <c r="B71" s="16" t="s">
        <v>168</v>
      </c>
      <c r="C71" s="16" t="s">
        <v>169</v>
      </c>
      <c r="D71" s="16" t="s">
        <v>12</v>
      </c>
      <c r="E71" s="16" t="s">
        <v>425</v>
      </c>
      <c r="F71" s="17">
        <v>46146</v>
      </c>
      <c r="G71" s="16" t="s">
        <v>43</v>
      </c>
      <c r="H71" s="16" t="s">
        <v>182</v>
      </c>
      <c r="I71" s="16" t="s">
        <v>198</v>
      </c>
      <c r="J71" s="16" t="s">
        <v>181</v>
      </c>
      <c r="K71" s="18">
        <v>900</v>
      </c>
      <c r="L71" s="16">
        <v>12</v>
      </c>
      <c r="M71" s="11" t="str">
        <f t="shared" si="3"/>
        <v>May</v>
      </c>
      <c r="N71" s="19">
        <v>2</v>
      </c>
      <c r="O71" s="14">
        <f t="shared" si="4"/>
        <v>1800</v>
      </c>
      <c r="P71" s="15">
        <f t="shared" si="5"/>
        <v>16.666666666666664</v>
      </c>
      <c r="Q71" s="16" t="s">
        <v>8</v>
      </c>
      <c r="R71" s="19">
        <v>4.7</v>
      </c>
      <c r="S71" s="16" t="s">
        <v>9</v>
      </c>
    </row>
    <row r="72" spans="1:19" x14ac:dyDescent="0.3">
      <c r="A72" s="11">
        <v>71</v>
      </c>
      <c r="B72" s="11" t="s">
        <v>201</v>
      </c>
      <c r="C72" s="11" t="s">
        <v>202</v>
      </c>
      <c r="D72" s="11" t="s">
        <v>12</v>
      </c>
      <c r="E72" s="11" t="s">
        <v>426</v>
      </c>
      <c r="F72" s="12">
        <v>46147</v>
      </c>
      <c r="G72" s="11" t="s">
        <v>69</v>
      </c>
      <c r="H72" s="11" t="s">
        <v>182</v>
      </c>
      <c r="I72" s="11" t="s">
        <v>180</v>
      </c>
      <c r="J72" s="11" t="s">
        <v>181</v>
      </c>
      <c r="K72" s="13">
        <v>899</v>
      </c>
      <c r="L72" s="11">
        <v>14</v>
      </c>
      <c r="M72" s="11" t="str">
        <f t="shared" si="3"/>
        <v>May</v>
      </c>
      <c r="N72" s="14">
        <v>4</v>
      </c>
      <c r="O72" s="14">
        <f t="shared" si="4"/>
        <v>3596</v>
      </c>
      <c r="P72" s="15">
        <f t="shared" si="5"/>
        <v>28.571428571428569</v>
      </c>
      <c r="Q72" s="11" t="s">
        <v>8</v>
      </c>
      <c r="R72" s="14">
        <v>4.8</v>
      </c>
      <c r="S72" s="11" t="s">
        <v>9</v>
      </c>
    </row>
    <row r="73" spans="1:19" x14ac:dyDescent="0.3">
      <c r="A73" s="16">
        <v>72</v>
      </c>
      <c r="B73" s="16" t="s">
        <v>203</v>
      </c>
      <c r="C73" s="16" t="s">
        <v>204</v>
      </c>
      <c r="D73" s="16" t="s">
        <v>7</v>
      </c>
      <c r="E73" s="16" t="s">
        <v>427</v>
      </c>
      <c r="F73" s="17">
        <v>46147</v>
      </c>
      <c r="G73" s="16" t="s">
        <v>353</v>
      </c>
      <c r="H73" s="16" t="s">
        <v>185</v>
      </c>
      <c r="I73" s="16" t="s">
        <v>189</v>
      </c>
      <c r="J73" s="16" t="s">
        <v>181</v>
      </c>
      <c r="K73" s="18">
        <v>800</v>
      </c>
      <c r="L73" s="16">
        <v>12</v>
      </c>
      <c r="M73" s="11" t="str">
        <f t="shared" si="3"/>
        <v>May</v>
      </c>
      <c r="N73" s="19">
        <v>2</v>
      </c>
      <c r="O73" s="14">
        <f t="shared" si="4"/>
        <v>1600</v>
      </c>
      <c r="P73" s="15">
        <f t="shared" si="5"/>
        <v>16.666666666666664</v>
      </c>
      <c r="Q73" s="16" t="s">
        <v>8</v>
      </c>
      <c r="R73" s="19">
        <v>4.5</v>
      </c>
      <c r="S73" s="16" t="s">
        <v>9</v>
      </c>
    </row>
    <row r="74" spans="1:19" x14ac:dyDescent="0.3">
      <c r="A74" s="11">
        <v>73</v>
      </c>
      <c r="B74" s="11" t="s">
        <v>205</v>
      </c>
      <c r="C74" s="11" t="s">
        <v>206</v>
      </c>
      <c r="D74" s="11" t="s">
        <v>12</v>
      </c>
      <c r="E74" s="11" t="s">
        <v>428</v>
      </c>
      <c r="F74" s="12">
        <v>46148</v>
      </c>
      <c r="G74" s="11" t="s">
        <v>54</v>
      </c>
      <c r="H74" s="11" t="s">
        <v>196</v>
      </c>
      <c r="I74" s="11" t="s">
        <v>186</v>
      </c>
      <c r="J74" s="11" t="s">
        <v>181</v>
      </c>
      <c r="K74" s="13">
        <v>2999</v>
      </c>
      <c r="L74" s="11">
        <v>10</v>
      </c>
      <c r="M74" s="11" t="str">
        <f t="shared" si="3"/>
        <v>May</v>
      </c>
      <c r="N74" s="14">
        <v>8</v>
      </c>
      <c r="O74" s="14">
        <f t="shared" si="4"/>
        <v>23992</v>
      </c>
      <c r="P74" s="15">
        <f t="shared" si="5"/>
        <v>80</v>
      </c>
      <c r="Q74" s="11" t="s">
        <v>188</v>
      </c>
      <c r="R74" s="14">
        <v>4.9000000000000004</v>
      </c>
      <c r="S74" s="11" t="s">
        <v>9</v>
      </c>
    </row>
    <row r="75" spans="1:19" x14ac:dyDescent="0.3">
      <c r="A75" s="16">
        <v>74</v>
      </c>
      <c r="B75" s="16" t="s">
        <v>207</v>
      </c>
      <c r="C75" s="16" t="s">
        <v>208</v>
      </c>
      <c r="D75" s="16" t="s">
        <v>7</v>
      </c>
      <c r="E75" s="16" t="s">
        <v>429</v>
      </c>
      <c r="F75" s="17">
        <v>46148</v>
      </c>
      <c r="G75" s="16" t="s">
        <v>358</v>
      </c>
      <c r="H75" s="16" t="s">
        <v>179</v>
      </c>
      <c r="I75" s="16" t="s">
        <v>190</v>
      </c>
      <c r="J75" s="16" t="s">
        <v>187</v>
      </c>
      <c r="K75" s="18">
        <v>900</v>
      </c>
      <c r="L75" s="16">
        <v>15</v>
      </c>
      <c r="M75" s="11" t="str">
        <f t="shared" si="3"/>
        <v>May</v>
      </c>
      <c r="N75" s="19">
        <v>5</v>
      </c>
      <c r="O75" s="14">
        <f t="shared" si="4"/>
        <v>4500</v>
      </c>
      <c r="P75" s="15">
        <f t="shared" si="5"/>
        <v>33.333333333333329</v>
      </c>
      <c r="Q75" s="16" t="s">
        <v>8</v>
      </c>
      <c r="R75" s="19">
        <v>4.2</v>
      </c>
      <c r="S75" s="16" t="s">
        <v>9</v>
      </c>
    </row>
    <row r="76" spans="1:19" x14ac:dyDescent="0.3">
      <c r="A76" s="11">
        <v>75</v>
      </c>
      <c r="B76" s="11" t="s">
        <v>209</v>
      </c>
      <c r="C76" s="11" t="s">
        <v>210</v>
      </c>
      <c r="D76" s="11" t="s">
        <v>12</v>
      </c>
      <c r="E76" s="11" t="s">
        <v>430</v>
      </c>
      <c r="F76" s="12">
        <v>46149</v>
      </c>
      <c r="G76" s="11" t="s">
        <v>359</v>
      </c>
      <c r="H76" s="11" t="s">
        <v>182</v>
      </c>
      <c r="I76" s="11" t="s">
        <v>194</v>
      </c>
      <c r="J76" s="11" t="s">
        <v>181</v>
      </c>
      <c r="K76" s="13">
        <v>600</v>
      </c>
      <c r="L76" s="11">
        <v>12</v>
      </c>
      <c r="M76" s="11" t="str">
        <f t="shared" si="3"/>
        <v>May</v>
      </c>
      <c r="N76" s="14">
        <v>2</v>
      </c>
      <c r="O76" s="14">
        <f t="shared" si="4"/>
        <v>1200</v>
      </c>
      <c r="P76" s="15">
        <f t="shared" si="5"/>
        <v>16.666666666666664</v>
      </c>
      <c r="Q76" s="11" t="s">
        <v>8</v>
      </c>
      <c r="R76" s="14">
        <v>4.7</v>
      </c>
      <c r="S76" s="11" t="s">
        <v>9</v>
      </c>
    </row>
    <row r="77" spans="1:19" x14ac:dyDescent="0.3">
      <c r="A77" s="16">
        <v>76</v>
      </c>
      <c r="B77" s="16" t="s">
        <v>211</v>
      </c>
      <c r="C77" s="16" t="s">
        <v>212</v>
      </c>
      <c r="D77" s="16" t="s">
        <v>7</v>
      </c>
      <c r="E77" s="16" t="s">
        <v>431</v>
      </c>
      <c r="F77" s="17">
        <v>46149</v>
      </c>
      <c r="G77" s="16" t="s">
        <v>28</v>
      </c>
      <c r="H77" s="16" t="s">
        <v>185</v>
      </c>
      <c r="I77" s="16" t="s">
        <v>193</v>
      </c>
      <c r="J77" s="16" t="s">
        <v>191</v>
      </c>
      <c r="K77" s="18">
        <v>700</v>
      </c>
      <c r="L77" s="16">
        <v>18</v>
      </c>
      <c r="M77" s="11" t="str">
        <f t="shared" si="3"/>
        <v>May</v>
      </c>
      <c r="N77" s="19">
        <v>3</v>
      </c>
      <c r="O77" s="14">
        <f t="shared" si="4"/>
        <v>2100</v>
      </c>
      <c r="P77" s="15">
        <f t="shared" si="5"/>
        <v>16.666666666666664</v>
      </c>
      <c r="Q77" s="16" t="s">
        <v>192</v>
      </c>
      <c r="R77" s="19">
        <v>4.0999999999999996</v>
      </c>
      <c r="S77" s="16" t="s">
        <v>9</v>
      </c>
    </row>
    <row r="78" spans="1:19" x14ac:dyDescent="0.3">
      <c r="A78" s="11">
        <v>77</v>
      </c>
      <c r="B78" s="11" t="s">
        <v>213</v>
      </c>
      <c r="C78" s="11" t="s">
        <v>214</v>
      </c>
      <c r="D78" s="11" t="s">
        <v>12</v>
      </c>
      <c r="E78" s="11" t="s">
        <v>432</v>
      </c>
      <c r="F78" s="12">
        <v>46150</v>
      </c>
      <c r="G78" s="21" t="s">
        <v>356</v>
      </c>
      <c r="H78" s="11" t="s">
        <v>195</v>
      </c>
      <c r="I78" s="11" t="s">
        <v>197</v>
      </c>
      <c r="J78" s="11" t="s">
        <v>181</v>
      </c>
      <c r="K78" s="13">
        <v>600</v>
      </c>
      <c r="L78" s="11">
        <v>16</v>
      </c>
      <c r="M78" s="11" t="str">
        <f t="shared" si="3"/>
        <v>May</v>
      </c>
      <c r="N78" s="14">
        <v>6</v>
      </c>
      <c r="O78" s="14">
        <f t="shared" si="4"/>
        <v>3600</v>
      </c>
      <c r="P78" s="15">
        <f t="shared" si="5"/>
        <v>37.5</v>
      </c>
      <c r="Q78" s="11" t="s">
        <v>8</v>
      </c>
      <c r="R78" s="14">
        <v>4.4000000000000004</v>
      </c>
      <c r="S78" s="11" t="s">
        <v>9</v>
      </c>
    </row>
    <row r="79" spans="1:19" x14ac:dyDescent="0.3">
      <c r="A79" s="16">
        <v>78</v>
      </c>
      <c r="B79" s="16" t="s">
        <v>215</v>
      </c>
      <c r="C79" s="16" t="s">
        <v>216</v>
      </c>
      <c r="D79" s="16" t="s">
        <v>7</v>
      </c>
      <c r="E79" s="16" t="s">
        <v>433</v>
      </c>
      <c r="F79" s="17">
        <v>46150</v>
      </c>
      <c r="G79" s="16" t="s">
        <v>35</v>
      </c>
      <c r="H79" s="16" t="s">
        <v>179</v>
      </c>
      <c r="I79" s="16" t="s">
        <v>199</v>
      </c>
      <c r="J79" s="16" t="s">
        <v>181</v>
      </c>
      <c r="K79" s="18">
        <v>999</v>
      </c>
      <c r="L79" s="16">
        <v>18</v>
      </c>
      <c r="M79" s="11" t="str">
        <f t="shared" si="3"/>
        <v>May</v>
      </c>
      <c r="N79" s="19">
        <v>3</v>
      </c>
      <c r="O79" s="14">
        <f t="shared" si="4"/>
        <v>2997</v>
      </c>
      <c r="P79" s="15">
        <f t="shared" si="5"/>
        <v>16.666666666666664</v>
      </c>
      <c r="Q79" s="16" t="s">
        <v>8</v>
      </c>
      <c r="R79" s="19">
        <v>4.5999999999999996</v>
      </c>
      <c r="S79" s="16" t="s">
        <v>9</v>
      </c>
    </row>
    <row r="80" spans="1:19" x14ac:dyDescent="0.3">
      <c r="A80" s="11">
        <v>79</v>
      </c>
      <c r="B80" s="11" t="s">
        <v>217</v>
      </c>
      <c r="C80" s="11" t="s">
        <v>218</v>
      </c>
      <c r="D80" s="11" t="s">
        <v>12</v>
      </c>
      <c r="E80" s="11" t="s">
        <v>413</v>
      </c>
      <c r="F80" s="12">
        <v>46151</v>
      </c>
      <c r="G80" s="11" t="s">
        <v>48</v>
      </c>
      <c r="H80" s="11" t="s">
        <v>182</v>
      </c>
      <c r="I80" s="11" t="s">
        <v>183</v>
      </c>
      <c r="J80" s="11" t="s">
        <v>181</v>
      </c>
      <c r="K80" s="13">
        <v>800</v>
      </c>
      <c r="L80" s="11">
        <v>14</v>
      </c>
      <c r="M80" s="11" t="str">
        <f t="shared" si="3"/>
        <v>May</v>
      </c>
      <c r="N80" s="14">
        <v>4</v>
      </c>
      <c r="O80" s="14">
        <f t="shared" si="4"/>
        <v>3200</v>
      </c>
      <c r="P80" s="15">
        <f t="shared" si="5"/>
        <v>28.571428571428569</v>
      </c>
      <c r="Q80" s="11" t="s">
        <v>188</v>
      </c>
      <c r="R80" s="14">
        <v>4.7</v>
      </c>
      <c r="S80" s="11" t="s">
        <v>9</v>
      </c>
    </row>
    <row r="81" spans="1:19" x14ac:dyDescent="0.3">
      <c r="A81" s="16">
        <v>80</v>
      </c>
      <c r="B81" s="16" t="s">
        <v>219</v>
      </c>
      <c r="C81" s="16" t="s">
        <v>220</v>
      </c>
      <c r="D81" s="16" t="s">
        <v>7</v>
      </c>
      <c r="E81" s="16" t="s">
        <v>404</v>
      </c>
      <c r="F81" s="17">
        <v>46151</v>
      </c>
      <c r="G81" s="16" t="s">
        <v>357</v>
      </c>
      <c r="H81" s="16" t="s">
        <v>185</v>
      </c>
      <c r="I81" s="16" t="s">
        <v>180</v>
      </c>
      <c r="J81" s="16" t="s">
        <v>187</v>
      </c>
      <c r="K81" s="18">
        <v>800</v>
      </c>
      <c r="L81" s="16">
        <v>18</v>
      </c>
      <c r="M81" s="11" t="str">
        <f t="shared" si="3"/>
        <v>May</v>
      </c>
      <c r="N81" s="19">
        <v>3</v>
      </c>
      <c r="O81" s="14">
        <f t="shared" si="4"/>
        <v>2400</v>
      </c>
      <c r="P81" s="15">
        <f t="shared" si="5"/>
        <v>16.666666666666664</v>
      </c>
      <c r="Q81" s="16" t="s">
        <v>8</v>
      </c>
      <c r="R81" s="19">
        <v>4.3</v>
      </c>
      <c r="S81" s="16" t="s">
        <v>9</v>
      </c>
    </row>
    <row r="82" spans="1:19" x14ac:dyDescent="0.3">
      <c r="A82" s="11">
        <v>81</v>
      </c>
      <c r="B82" s="11" t="s">
        <v>221</v>
      </c>
      <c r="C82" s="11" t="s">
        <v>222</v>
      </c>
      <c r="D82" s="11" t="s">
        <v>12</v>
      </c>
      <c r="E82" s="11" t="s">
        <v>434</v>
      </c>
      <c r="F82" s="12">
        <v>46152</v>
      </c>
      <c r="G82" s="11" t="s">
        <v>355</v>
      </c>
      <c r="H82" s="11" t="s">
        <v>185</v>
      </c>
      <c r="I82" s="11" t="s">
        <v>189</v>
      </c>
      <c r="J82" s="11" t="s">
        <v>181</v>
      </c>
      <c r="K82" s="13">
        <v>1500</v>
      </c>
      <c r="L82" s="11">
        <v>12</v>
      </c>
      <c r="M82" s="11" t="str">
        <f t="shared" si="3"/>
        <v>May</v>
      </c>
      <c r="N82" s="14">
        <v>2</v>
      </c>
      <c r="O82" s="14">
        <f t="shared" si="4"/>
        <v>3000</v>
      </c>
      <c r="P82" s="15">
        <f t="shared" si="5"/>
        <v>16.666666666666664</v>
      </c>
      <c r="Q82" s="11" t="s">
        <v>8</v>
      </c>
      <c r="R82" s="14">
        <v>4.9000000000000004</v>
      </c>
      <c r="S82" s="11" t="s">
        <v>9</v>
      </c>
    </row>
    <row r="83" spans="1:19" x14ac:dyDescent="0.3">
      <c r="A83" s="16">
        <v>82</v>
      </c>
      <c r="B83" s="16" t="s">
        <v>224</v>
      </c>
      <c r="C83" s="16" t="s">
        <v>225</v>
      </c>
      <c r="D83" s="16" t="s">
        <v>7</v>
      </c>
      <c r="E83" s="16" t="s">
        <v>435</v>
      </c>
      <c r="F83" s="17">
        <v>46152</v>
      </c>
      <c r="G83" s="16" t="s">
        <v>352</v>
      </c>
      <c r="H83" s="16" t="s">
        <v>182</v>
      </c>
      <c r="I83" s="16" t="s">
        <v>186</v>
      </c>
      <c r="J83" s="16" t="s">
        <v>181</v>
      </c>
      <c r="K83" s="18">
        <v>600</v>
      </c>
      <c r="L83" s="16">
        <v>10</v>
      </c>
      <c r="M83" s="11" t="str">
        <f t="shared" si="3"/>
        <v>May</v>
      </c>
      <c r="N83" s="19">
        <v>7</v>
      </c>
      <c r="O83" s="14">
        <f t="shared" si="4"/>
        <v>4200</v>
      </c>
      <c r="P83" s="15">
        <f t="shared" si="5"/>
        <v>70</v>
      </c>
      <c r="Q83" s="16" t="s">
        <v>8</v>
      </c>
      <c r="R83" s="19">
        <v>4.5</v>
      </c>
      <c r="S83" s="16" t="s">
        <v>9</v>
      </c>
    </row>
    <row r="84" spans="1:19" x14ac:dyDescent="0.3">
      <c r="A84" s="11">
        <v>83</v>
      </c>
      <c r="B84" s="11" t="s">
        <v>226</v>
      </c>
      <c r="C84" s="11" t="s">
        <v>227</v>
      </c>
      <c r="D84" s="11" t="s">
        <v>12</v>
      </c>
      <c r="E84" s="11" t="s">
        <v>436</v>
      </c>
      <c r="F84" s="12">
        <v>46153</v>
      </c>
      <c r="G84" s="11" t="s">
        <v>43</v>
      </c>
      <c r="H84" s="11" t="s">
        <v>179</v>
      </c>
      <c r="I84" s="11" t="s">
        <v>190</v>
      </c>
      <c r="J84" s="11" t="s">
        <v>181</v>
      </c>
      <c r="K84" s="13">
        <v>900</v>
      </c>
      <c r="L84" s="11">
        <v>12</v>
      </c>
      <c r="M84" s="11" t="str">
        <f t="shared" si="3"/>
        <v>May</v>
      </c>
      <c r="N84" s="14">
        <v>2</v>
      </c>
      <c r="O84" s="14">
        <f t="shared" si="4"/>
        <v>1800</v>
      </c>
      <c r="P84" s="15">
        <f t="shared" si="5"/>
        <v>16.666666666666664</v>
      </c>
      <c r="Q84" s="11" t="s">
        <v>188</v>
      </c>
      <c r="R84" s="14">
        <v>4.8</v>
      </c>
      <c r="S84" s="11" t="s">
        <v>9</v>
      </c>
    </row>
    <row r="85" spans="1:19" x14ac:dyDescent="0.3">
      <c r="A85" s="16">
        <v>84</v>
      </c>
      <c r="B85" s="16" t="s">
        <v>228</v>
      </c>
      <c r="C85" s="16" t="s">
        <v>229</v>
      </c>
      <c r="D85" s="16" t="s">
        <v>7</v>
      </c>
      <c r="E85" s="16" t="s">
        <v>437</v>
      </c>
      <c r="F85" s="17">
        <v>46153</v>
      </c>
      <c r="G85" s="16" t="s">
        <v>51</v>
      </c>
      <c r="H85" s="16" t="s">
        <v>200</v>
      </c>
      <c r="I85" s="16" t="s">
        <v>194</v>
      </c>
      <c r="J85" s="16" t="s">
        <v>181</v>
      </c>
      <c r="K85" s="18">
        <v>900</v>
      </c>
      <c r="L85" s="16">
        <v>12</v>
      </c>
      <c r="M85" s="11" t="str">
        <f t="shared" si="3"/>
        <v>May</v>
      </c>
      <c r="N85" s="19">
        <v>2</v>
      </c>
      <c r="O85" s="14">
        <f t="shared" si="4"/>
        <v>1800</v>
      </c>
      <c r="P85" s="15">
        <f t="shared" si="5"/>
        <v>16.666666666666664</v>
      </c>
      <c r="Q85" s="16" t="s">
        <v>8</v>
      </c>
      <c r="R85" s="19">
        <v>4.9000000000000004</v>
      </c>
      <c r="S85" s="16" t="s">
        <v>9</v>
      </c>
    </row>
    <row r="86" spans="1:19" x14ac:dyDescent="0.3">
      <c r="A86" s="11">
        <v>85</v>
      </c>
      <c r="B86" s="11" t="s">
        <v>230</v>
      </c>
      <c r="C86" s="11" t="s">
        <v>231</v>
      </c>
      <c r="D86" s="11" t="s">
        <v>12</v>
      </c>
      <c r="E86" s="11" t="s">
        <v>409</v>
      </c>
      <c r="F86" s="12">
        <v>46154</v>
      </c>
      <c r="G86" s="11" t="s">
        <v>551</v>
      </c>
      <c r="H86" s="11" t="s">
        <v>195</v>
      </c>
      <c r="I86" s="11" t="s">
        <v>193</v>
      </c>
      <c r="J86" s="11" t="s">
        <v>191</v>
      </c>
      <c r="K86" s="13">
        <v>900</v>
      </c>
      <c r="L86" s="11">
        <v>15</v>
      </c>
      <c r="M86" s="11" t="str">
        <f t="shared" si="3"/>
        <v>May</v>
      </c>
      <c r="N86" s="14">
        <v>5</v>
      </c>
      <c r="O86" s="14">
        <f t="shared" si="4"/>
        <v>4500</v>
      </c>
      <c r="P86" s="15">
        <f t="shared" si="5"/>
        <v>33.333333333333329</v>
      </c>
      <c r="Q86" s="11" t="s">
        <v>192</v>
      </c>
      <c r="R86" s="14">
        <v>3.9</v>
      </c>
      <c r="S86" s="11" t="s">
        <v>9</v>
      </c>
    </row>
    <row r="87" spans="1:19" x14ac:dyDescent="0.3">
      <c r="A87" s="16">
        <v>86</v>
      </c>
      <c r="B87" s="16" t="s">
        <v>232</v>
      </c>
      <c r="C87" s="16" t="s">
        <v>233</v>
      </c>
      <c r="D87" s="16" t="s">
        <v>7</v>
      </c>
      <c r="E87" s="16" t="s">
        <v>370</v>
      </c>
      <c r="F87" s="17">
        <v>46154</v>
      </c>
      <c r="G87" s="16" t="s">
        <v>354</v>
      </c>
      <c r="H87" s="16" t="s">
        <v>179</v>
      </c>
      <c r="I87" s="16" t="s">
        <v>197</v>
      </c>
      <c r="J87" s="16" t="s">
        <v>181</v>
      </c>
      <c r="K87" s="18">
        <v>800</v>
      </c>
      <c r="L87" s="16">
        <v>14</v>
      </c>
      <c r="M87" s="11" t="str">
        <f t="shared" si="3"/>
        <v>May</v>
      </c>
      <c r="N87" s="19">
        <v>4</v>
      </c>
      <c r="O87" s="14">
        <f t="shared" si="4"/>
        <v>3200</v>
      </c>
      <c r="P87" s="15">
        <f t="shared" si="5"/>
        <v>28.571428571428569</v>
      </c>
      <c r="Q87" s="16" t="s">
        <v>8</v>
      </c>
      <c r="R87" s="19">
        <v>4.4000000000000004</v>
      </c>
      <c r="S87" s="16" t="s">
        <v>9</v>
      </c>
    </row>
    <row r="88" spans="1:19" x14ac:dyDescent="0.3">
      <c r="A88" s="11">
        <v>87</v>
      </c>
      <c r="B88" s="11" t="s">
        <v>234</v>
      </c>
      <c r="C88" s="11" t="s">
        <v>235</v>
      </c>
      <c r="D88" s="11" t="s">
        <v>12</v>
      </c>
      <c r="E88" s="11" t="s">
        <v>438</v>
      </c>
      <c r="F88" s="12">
        <v>46155</v>
      </c>
      <c r="G88" s="11" t="s">
        <v>69</v>
      </c>
      <c r="H88" s="11" t="s">
        <v>185</v>
      </c>
      <c r="I88" s="11" t="s">
        <v>199</v>
      </c>
      <c r="J88" s="11" t="s">
        <v>181</v>
      </c>
      <c r="K88" s="13">
        <v>899</v>
      </c>
      <c r="L88" s="11">
        <v>18</v>
      </c>
      <c r="M88" s="11" t="str">
        <f t="shared" si="3"/>
        <v>May</v>
      </c>
      <c r="N88" s="14">
        <v>3</v>
      </c>
      <c r="O88" s="14">
        <f t="shared" si="4"/>
        <v>2697</v>
      </c>
      <c r="P88" s="15">
        <f t="shared" si="5"/>
        <v>16.666666666666664</v>
      </c>
      <c r="Q88" s="11" t="s">
        <v>8</v>
      </c>
      <c r="R88" s="14">
        <v>4.5999999999999996</v>
      </c>
      <c r="S88" s="11" t="s">
        <v>9</v>
      </c>
    </row>
    <row r="89" spans="1:19" x14ac:dyDescent="0.3">
      <c r="A89" s="16">
        <v>88</v>
      </c>
      <c r="B89" s="16" t="s">
        <v>236</v>
      </c>
      <c r="C89" s="16" t="s">
        <v>237</v>
      </c>
      <c r="D89" s="16" t="s">
        <v>7</v>
      </c>
      <c r="E89" s="16" t="s">
        <v>439</v>
      </c>
      <c r="F89" s="17">
        <v>46155</v>
      </c>
      <c r="G89" s="16" t="s">
        <v>61</v>
      </c>
      <c r="H89" s="16" t="s">
        <v>200</v>
      </c>
      <c r="I89" s="16" t="s">
        <v>183</v>
      </c>
      <c r="J89" s="16" t="s">
        <v>187</v>
      </c>
      <c r="K89" s="18">
        <v>900</v>
      </c>
      <c r="L89" s="16">
        <v>10</v>
      </c>
      <c r="M89" s="11" t="str">
        <f t="shared" si="3"/>
        <v>May</v>
      </c>
      <c r="N89" s="19">
        <v>7</v>
      </c>
      <c r="O89" s="14">
        <f t="shared" si="4"/>
        <v>6300</v>
      </c>
      <c r="P89" s="15">
        <f t="shared" si="5"/>
        <v>70</v>
      </c>
      <c r="Q89" s="16" t="s">
        <v>188</v>
      </c>
      <c r="R89" s="19">
        <v>4.2</v>
      </c>
      <c r="S89" s="16" t="s">
        <v>9</v>
      </c>
    </row>
    <row r="90" spans="1:19" x14ac:dyDescent="0.3">
      <c r="A90" s="11">
        <v>89</v>
      </c>
      <c r="B90" s="11" t="s">
        <v>238</v>
      </c>
      <c r="C90" s="11" t="s">
        <v>239</v>
      </c>
      <c r="D90" s="11" t="s">
        <v>12</v>
      </c>
      <c r="E90" s="11" t="s">
        <v>440</v>
      </c>
      <c r="F90" s="12">
        <v>46156</v>
      </c>
      <c r="G90" s="11" t="s">
        <v>54</v>
      </c>
      <c r="H90" s="11" t="s">
        <v>196</v>
      </c>
      <c r="I90" s="11" t="s">
        <v>180</v>
      </c>
      <c r="J90" s="11" t="s">
        <v>181</v>
      </c>
      <c r="K90" s="13">
        <v>2999</v>
      </c>
      <c r="L90" s="11">
        <v>12</v>
      </c>
      <c r="M90" s="11" t="str">
        <f t="shared" si="3"/>
        <v>May</v>
      </c>
      <c r="N90" s="14">
        <v>2</v>
      </c>
      <c r="O90" s="14">
        <f t="shared" si="4"/>
        <v>5998</v>
      </c>
      <c r="P90" s="15">
        <f t="shared" si="5"/>
        <v>16.666666666666664</v>
      </c>
      <c r="Q90" s="11" t="s">
        <v>8</v>
      </c>
      <c r="R90" s="14">
        <v>4.9000000000000004</v>
      </c>
      <c r="S90" s="11" t="s">
        <v>9</v>
      </c>
    </row>
    <row r="91" spans="1:19" x14ac:dyDescent="0.3">
      <c r="A91" s="16">
        <v>90</v>
      </c>
      <c r="B91" s="16" t="s">
        <v>240</v>
      </c>
      <c r="C91" s="16" t="s">
        <v>241</v>
      </c>
      <c r="D91" s="16" t="s">
        <v>7</v>
      </c>
      <c r="E91" s="16" t="s">
        <v>441</v>
      </c>
      <c r="F91" s="17">
        <v>46156</v>
      </c>
      <c r="G91" s="16" t="s">
        <v>105</v>
      </c>
      <c r="H91" s="16" t="s">
        <v>182</v>
      </c>
      <c r="I91" s="16" t="s">
        <v>189</v>
      </c>
      <c r="J91" s="16" t="s">
        <v>181</v>
      </c>
      <c r="K91" s="18">
        <v>500</v>
      </c>
      <c r="L91" s="16">
        <v>15</v>
      </c>
      <c r="M91" s="11" t="str">
        <f t="shared" si="3"/>
        <v>May</v>
      </c>
      <c r="N91" s="19">
        <v>5</v>
      </c>
      <c r="O91" s="14">
        <f t="shared" si="4"/>
        <v>2500</v>
      </c>
      <c r="P91" s="15">
        <f t="shared" si="5"/>
        <v>33.333333333333329</v>
      </c>
      <c r="Q91" s="16" t="s">
        <v>8</v>
      </c>
      <c r="R91" s="19">
        <v>4.5</v>
      </c>
      <c r="S91" s="16" t="s">
        <v>9</v>
      </c>
    </row>
    <row r="92" spans="1:19" x14ac:dyDescent="0.3">
      <c r="A92" s="11">
        <v>91</v>
      </c>
      <c r="B92" s="11" t="s">
        <v>242</v>
      </c>
      <c r="C92" s="11" t="s">
        <v>243</v>
      </c>
      <c r="D92" s="11" t="s">
        <v>12</v>
      </c>
      <c r="E92" s="11" t="s">
        <v>442</v>
      </c>
      <c r="F92" s="12">
        <v>46157</v>
      </c>
      <c r="G92" s="11" t="s">
        <v>69</v>
      </c>
      <c r="H92" s="11" t="s">
        <v>179</v>
      </c>
      <c r="I92" s="11" t="s">
        <v>180</v>
      </c>
      <c r="J92" s="11" t="s">
        <v>181</v>
      </c>
      <c r="K92" s="13">
        <v>899</v>
      </c>
      <c r="L92" s="11">
        <v>14</v>
      </c>
      <c r="M92" s="11" t="str">
        <f t="shared" si="3"/>
        <v>May</v>
      </c>
      <c r="N92" s="14">
        <v>4</v>
      </c>
      <c r="O92" s="14">
        <f t="shared" si="4"/>
        <v>3596</v>
      </c>
      <c r="P92" s="15">
        <f t="shared" si="5"/>
        <v>28.571428571428569</v>
      </c>
      <c r="Q92" s="11" t="s">
        <v>8</v>
      </c>
      <c r="R92" s="14">
        <v>4.8</v>
      </c>
      <c r="S92" s="11" t="s">
        <v>9</v>
      </c>
    </row>
    <row r="93" spans="1:19" x14ac:dyDescent="0.3">
      <c r="A93" s="16">
        <v>92</v>
      </c>
      <c r="B93" s="16" t="s">
        <v>244</v>
      </c>
      <c r="C93" s="16" t="s">
        <v>245</v>
      </c>
      <c r="D93" s="16" t="s">
        <v>7</v>
      </c>
      <c r="E93" s="16" t="s">
        <v>443</v>
      </c>
      <c r="F93" s="17">
        <v>46157</v>
      </c>
      <c r="G93" s="16" t="s">
        <v>35</v>
      </c>
      <c r="H93" s="16" t="s">
        <v>185</v>
      </c>
      <c r="I93" s="16" t="s">
        <v>194</v>
      </c>
      <c r="J93" s="16" t="s">
        <v>181</v>
      </c>
      <c r="K93" s="18">
        <v>999</v>
      </c>
      <c r="L93" s="16">
        <v>12</v>
      </c>
      <c r="M93" s="11" t="str">
        <f t="shared" si="3"/>
        <v>May</v>
      </c>
      <c r="N93" s="19">
        <v>2</v>
      </c>
      <c r="O93" s="14">
        <f t="shared" si="4"/>
        <v>1998</v>
      </c>
      <c r="P93" s="15">
        <f t="shared" si="5"/>
        <v>16.666666666666664</v>
      </c>
      <c r="Q93" s="16" t="s">
        <v>8</v>
      </c>
      <c r="R93" s="19">
        <v>4.5</v>
      </c>
      <c r="S93" s="16" t="s">
        <v>9</v>
      </c>
    </row>
    <row r="94" spans="1:19" x14ac:dyDescent="0.3">
      <c r="A94" s="11">
        <v>93</v>
      </c>
      <c r="B94" s="11" t="s">
        <v>246</v>
      </c>
      <c r="C94" s="11" t="s">
        <v>247</v>
      </c>
      <c r="D94" s="11" t="s">
        <v>12</v>
      </c>
      <c r="E94" s="11" t="s">
        <v>444</v>
      </c>
      <c r="F94" s="12">
        <v>46158</v>
      </c>
      <c r="G94" s="11" t="s">
        <v>54</v>
      </c>
      <c r="H94" s="11" t="s">
        <v>196</v>
      </c>
      <c r="I94" s="11" t="s">
        <v>186</v>
      </c>
      <c r="J94" s="11" t="s">
        <v>181</v>
      </c>
      <c r="K94" s="13">
        <v>2999</v>
      </c>
      <c r="L94" s="11">
        <v>10</v>
      </c>
      <c r="M94" s="11" t="str">
        <f t="shared" si="3"/>
        <v>May</v>
      </c>
      <c r="N94" s="14">
        <v>1</v>
      </c>
      <c r="O94" s="14">
        <f t="shared" si="4"/>
        <v>2999</v>
      </c>
      <c r="P94" s="15">
        <f t="shared" si="5"/>
        <v>10</v>
      </c>
      <c r="Q94" s="11" t="s">
        <v>188</v>
      </c>
      <c r="R94" s="14">
        <v>4.9000000000000004</v>
      </c>
      <c r="S94" s="11" t="s">
        <v>9</v>
      </c>
    </row>
    <row r="95" spans="1:19" x14ac:dyDescent="0.3">
      <c r="A95" s="16">
        <v>94</v>
      </c>
      <c r="B95" s="16" t="s">
        <v>248</v>
      </c>
      <c r="C95" s="16" t="s">
        <v>249</v>
      </c>
      <c r="D95" s="16" t="s">
        <v>7</v>
      </c>
      <c r="E95" s="16" t="s">
        <v>445</v>
      </c>
      <c r="F95" s="17">
        <v>46158</v>
      </c>
      <c r="G95" s="16" t="s">
        <v>28</v>
      </c>
      <c r="H95" s="16" t="s">
        <v>185</v>
      </c>
      <c r="I95" s="16" t="s">
        <v>190</v>
      </c>
      <c r="J95" s="16" t="s">
        <v>187</v>
      </c>
      <c r="K95" s="18">
        <v>700</v>
      </c>
      <c r="L95" s="16">
        <v>18</v>
      </c>
      <c r="M95" s="11" t="str">
        <f t="shared" si="3"/>
        <v>May</v>
      </c>
      <c r="N95" s="19">
        <v>3</v>
      </c>
      <c r="O95" s="14">
        <f t="shared" si="4"/>
        <v>2100</v>
      </c>
      <c r="P95" s="15">
        <f t="shared" si="5"/>
        <v>16.666666666666664</v>
      </c>
      <c r="Q95" s="16" t="s">
        <v>8</v>
      </c>
      <c r="R95" s="19">
        <v>4.2</v>
      </c>
      <c r="S95" s="16" t="s">
        <v>9</v>
      </c>
    </row>
    <row r="96" spans="1:19" x14ac:dyDescent="0.3">
      <c r="A96" s="11">
        <v>95</v>
      </c>
      <c r="B96" s="11" t="s">
        <v>250</v>
      </c>
      <c r="C96" s="11" t="s">
        <v>251</v>
      </c>
      <c r="D96" s="11" t="s">
        <v>12</v>
      </c>
      <c r="E96" s="11" t="s">
        <v>446</v>
      </c>
      <c r="F96" s="12">
        <v>46159</v>
      </c>
      <c r="G96" s="11" t="s">
        <v>355</v>
      </c>
      <c r="H96" s="11" t="s">
        <v>179</v>
      </c>
      <c r="I96" s="11" t="s">
        <v>189</v>
      </c>
      <c r="J96" s="11" t="s">
        <v>181</v>
      </c>
      <c r="K96" s="13">
        <v>1500</v>
      </c>
      <c r="L96" s="11">
        <v>12</v>
      </c>
      <c r="M96" s="11" t="str">
        <f t="shared" si="3"/>
        <v>May</v>
      </c>
      <c r="N96" s="14">
        <v>8</v>
      </c>
      <c r="O96" s="14">
        <f t="shared" si="4"/>
        <v>12000</v>
      </c>
      <c r="P96" s="15">
        <f t="shared" si="5"/>
        <v>66.666666666666657</v>
      </c>
      <c r="Q96" s="11" t="s">
        <v>8</v>
      </c>
      <c r="R96" s="14">
        <v>4.8</v>
      </c>
      <c r="S96" s="11" t="s">
        <v>9</v>
      </c>
    </row>
    <row r="97" spans="1:19" x14ac:dyDescent="0.3">
      <c r="A97" s="16">
        <v>96</v>
      </c>
      <c r="B97" s="16" t="s">
        <v>252</v>
      </c>
      <c r="C97" s="16" t="s">
        <v>253</v>
      </c>
      <c r="D97" s="16" t="s">
        <v>7</v>
      </c>
      <c r="E97" s="16" t="s">
        <v>447</v>
      </c>
      <c r="F97" s="17">
        <v>46159</v>
      </c>
      <c r="G97" s="16" t="s">
        <v>358</v>
      </c>
      <c r="H97" s="16" t="s">
        <v>182</v>
      </c>
      <c r="I97" s="16" t="s">
        <v>197</v>
      </c>
      <c r="J97" s="16" t="s">
        <v>181</v>
      </c>
      <c r="K97" s="18">
        <v>900</v>
      </c>
      <c r="L97" s="16">
        <v>16</v>
      </c>
      <c r="M97" s="11" t="str">
        <f t="shared" si="3"/>
        <v>May</v>
      </c>
      <c r="N97" s="19">
        <v>10</v>
      </c>
      <c r="O97" s="14">
        <f t="shared" si="4"/>
        <v>9000</v>
      </c>
      <c r="P97" s="15">
        <f t="shared" si="5"/>
        <v>62.5</v>
      </c>
      <c r="Q97" s="16" t="s">
        <v>192</v>
      </c>
      <c r="R97" s="19">
        <v>4.3</v>
      </c>
      <c r="S97" s="16" t="s">
        <v>9</v>
      </c>
    </row>
    <row r="98" spans="1:19" x14ac:dyDescent="0.3">
      <c r="A98" s="11">
        <v>97</v>
      </c>
      <c r="B98" s="11" t="s">
        <v>254</v>
      </c>
      <c r="C98" s="11" t="s">
        <v>255</v>
      </c>
      <c r="D98" s="11" t="s">
        <v>12</v>
      </c>
      <c r="E98" s="11" t="s">
        <v>448</v>
      </c>
      <c r="F98" s="12">
        <v>46160</v>
      </c>
      <c r="G98" s="21" t="s">
        <v>356</v>
      </c>
      <c r="H98" s="11" t="s">
        <v>195</v>
      </c>
      <c r="I98" s="11" t="s">
        <v>193</v>
      </c>
      <c r="J98" s="11" t="s">
        <v>191</v>
      </c>
      <c r="K98" s="13">
        <v>600</v>
      </c>
      <c r="L98" s="11">
        <v>15</v>
      </c>
      <c r="M98" s="11" t="str">
        <f t="shared" si="3"/>
        <v>May</v>
      </c>
      <c r="N98" s="14">
        <v>5</v>
      </c>
      <c r="O98" s="14">
        <f t="shared" si="4"/>
        <v>3000</v>
      </c>
      <c r="P98" s="15">
        <f t="shared" si="5"/>
        <v>33.333333333333329</v>
      </c>
      <c r="Q98" s="11" t="s">
        <v>8</v>
      </c>
      <c r="R98" s="14">
        <v>4</v>
      </c>
      <c r="S98" s="11" t="s">
        <v>9</v>
      </c>
    </row>
    <row r="99" spans="1:19" x14ac:dyDescent="0.3">
      <c r="A99" s="16">
        <v>98</v>
      </c>
      <c r="B99" s="16" t="s">
        <v>256</v>
      </c>
      <c r="C99" s="16" t="s">
        <v>257</v>
      </c>
      <c r="D99" s="16" t="s">
        <v>7</v>
      </c>
      <c r="E99" s="16" t="s">
        <v>449</v>
      </c>
      <c r="F99" s="17">
        <v>46160</v>
      </c>
      <c r="G99" s="16" t="s">
        <v>51</v>
      </c>
      <c r="H99" s="16" t="s">
        <v>200</v>
      </c>
      <c r="I99" s="16" t="s">
        <v>199</v>
      </c>
      <c r="J99" s="16" t="s">
        <v>181</v>
      </c>
      <c r="K99" s="18">
        <v>900</v>
      </c>
      <c r="L99" s="16">
        <v>12</v>
      </c>
      <c r="M99" s="11" t="str">
        <f t="shared" si="3"/>
        <v>May</v>
      </c>
      <c r="N99" s="19">
        <v>6</v>
      </c>
      <c r="O99" s="14">
        <f t="shared" si="4"/>
        <v>5400</v>
      </c>
      <c r="P99" s="15">
        <f t="shared" si="5"/>
        <v>50</v>
      </c>
      <c r="Q99" s="16" t="s">
        <v>8</v>
      </c>
      <c r="R99" s="19">
        <v>4.9000000000000004</v>
      </c>
      <c r="S99" s="16" t="s">
        <v>9</v>
      </c>
    </row>
    <row r="100" spans="1:19" x14ac:dyDescent="0.3">
      <c r="A100" s="11">
        <v>99</v>
      </c>
      <c r="B100" s="11" t="s">
        <v>258</v>
      </c>
      <c r="C100" s="11" t="s">
        <v>259</v>
      </c>
      <c r="D100" s="11" t="s">
        <v>12</v>
      </c>
      <c r="E100" s="11" t="s">
        <v>450</v>
      </c>
      <c r="F100" s="12">
        <v>46161</v>
      </c>
      <c r="G100" s="11" t="s">
        <v>48</v>
      </c>
      <c r="H100" s="11" t="s">
        <v>182</v>
      </c>
      <c r="I100" s="11" t="s">
        <v>198</v>
      </c>
      <c r="J100" s="11" t="s">
        <v>181</v>
      </c>
      <c r="K100" s="13">
        <v>800</v>
      </c>
      <c r="L100" s="11">
        <v>14</v>
      </c>
      <c r="M100" s="11" t="str">
        <f t="shared" si="3"/>
        <v>May</v>
      </c>
      <c r="N100" s="14">
        <v>4</v>
      </c>
      <c r="O100" s="14">
        <f t="shared" si="4"/>
        <v>3200</v>
      </c>
      <c r="P100" s="15">
        <f t="shared" si="5"/>
        <v>28.571428571428569</v>
      </c>
      <c r="Q100" s="11" t="s">
        <v>188</v>
      </c>
      <c r="R100" s="14">
        <v>4.7</v>
      </c>
      <c r="S100" s="11" t="s">
        <v>9</v>
      </c>
    </row>
    <row r="101" spans="1:19" x14ac:dyDescent="0.3">
      <c r="A101" s="16">
        <v>100</v>
      </c>
      <c r="B101" s="16" t="s">
        <v>260</v>
      </c>
      <c r="C101" s="16" t="s">
        <v>261</v>
      </c>
      <c r="D101" s="16" t="s">
        <v>7</v>
      </c>
      <c r="E101" s="16" t="s">
        <v>451</v>
      </c>
      <c r="F101" s="17">
        <v>46161</v>
      </c>
      <c r="G101" s="16" t="s">
        <v>357</v>
      </c>
      <c r="H101" s="16" t="s">
        <v>179</v>
      </c>
      <c r="I101" s="16" t="s">
        <v>180</v>
      </c>
      <c r="J101" s="16" t="s">
        <v>181</v>
      </c>
      <c r="K101" s="18">
        <v>800</v>
      </c>
      <c r="L101" s="16">
        <v>18</v>
      </c>
      <c r="M101" s="11" t="str">
        <f t="shared" si="3"/>
        <v>May</v>
      </c>
      <c r="N101" s="19">
        <v>3</v>
      </c>
      <c r="O101" s="14">
        <f t="shared" si="4"/>
        <v>2400</v>
      </c>
      <c r="P101" s="15">
        <f t="shared" si="5"/>
        <v>16.666666666666664</v>
      </c>
      <c r="Q101" s="16" t="s">
        <v>8</v>
      </c>
      <c r="R101" s="19">
        <v>4.4000000000000004</v>
      </c>
      <c r="S101" s="16" t="s">
        <v>9</v>
      </c>
    </row>
    <row r="102" spans="1:19" x14ac:dyDescent="0.3">
      <c r="A102" s="11">
        <v>101</v>
      </c>
      <c r="B102" s="11" t="s">
        <v>262</v>
      </c>
      <c r="C102" s="11" t="s">
        <v>263</v>
      </c>
      <c r="D102" s="11" t="s">
        <v>12</v>
      </c>
      <c r="E102" s="11" t="s">
        <v>452</v>
      </c>
      <c r="F102" s="12">
        <v>46162</v>
      </c>
      <c r="G102" s="11" t="s">
        <v>359</v>
      </c>
      <c r="H102" s="11" t="s">
        <v>182</v>
      </c>
      <c r="I102" s="11" t="s">
        <v>194</v>
      </c>
      <c r="J102" s="11" t="s">
        <v>181</v>
      </c>
      <c r="K102" s="13">
        <v>600</v>
      </c>
      <c r="L102" s="11">
        <v>12</v>
      </c>
      <c r="M102" s="11" t="str">
        <f t="shared" si="3"/>
        <v>May</v>
      </c>
      <c r="N102" s="14">
        <v>12</v>
      </c>
      <c r="O102" s="14">
        <f t="shared" si="4"/>
        <v>7200</v>
      </c>
      <c r="P102" s="15">
        <f t="shared" si="5"/>
        <v>100</v>
      </c>
      <c r="Q102" s="11" t="s">
        <v>8</v>
      </c>
      <c r="R102" s="14">
        <v>4.8</v>
      </c>
      <c r="S102" s="11" t="s">
        <v>9</v>
      </c>
    </row>
    <row r="103" spans="1:19" x14ac:dyDescent="0.3">
      <c r="A103" s="16">
        <v>102</v>
      </c>
      <c r="B103" s="16" t="s">
        <v>264</v>
      </c>
      <c r="C103" s="16" t="s">
        <v>265</v>
      </c>
      <c r="D103" s="16" t="s">
        <v>7</v>
      </c>
      <c r="E103" s="16" t="s">
        <v>453</v>
      </c>
      <c r="F103" s="17">
        <v>46162</v>
      </c>
      <c r="G103" s="16" t="s">
        <v>353</v>
      </c>
      <c r="H103" s="16" t="s">
        <v>185</v>
      </c>
      <c r="I103" s="16" t="s">
        <v>186</v>
      </c>
      <c r="J103" s="16" t="s">
        <v>187</v>
      </c>
      <c r="K103" s="18">
        <v>800</v>
      </c>
      <c r="L103" s="16">
        <v>18</v>
      </c>
      <c r="M103" s="11" t="str">
        <f t="shared" si="3"/>
        <v>May</v>
      </c>
      <c r="N103" s="19">
        <v>3</v>
      </c>
      <c r="O103" s="14">
        <f t="shared" si="4"/>
        <v>2400</v>
      </c>
      <c r="P103" s="15">
        <f t="shared" si="5"/>
        <v>16.666666666666664</v>
      </c>
      <c r="Q103" s="16" t="s">
        <v>188</v>
      </c>
      <c r="R103" s="19">
        <v>4.3</v>
      </c>
      <c r="S103" s="16" t="s">
        <v>9</v>
      </c>
    </row>
    <row r="104" spans="1:19" x14ac:dyDescent="0.3">
      <c r="A104" s="11">
        <v>103</v>
      </c>
      <c r="B104" s="11" t="s">
        <v>266</v>
      </c>
      <c r="C104" s="11" t="s">
        <v>267</v>
      </c>
      <c r="D104" s="11" t="s">
        <v>12</v>
      </c>
      <c r="E104" s="11" t="s">
        <v>454</v>
      </c>
      <c r="F104" s="12">
        <v>46163</v>
      </c>
      <c r="G104" s="11" t="s">
        <v>69</v>
      </c>
      <c r="H104" s="11" t="s">
        <v>182</v>
      </c>
      <c r="I104" s="11" t="s">
        <v>189</v>
      </c>
      <c r="J104" s="11" t="s">
        <v>181</v>
      </c>
      <c r="K104" s="13">
        <v>899</v>
      </c>
      <c r="L104" s="11">
        <v>15</v>
      </c>
      <c r="M104" s="11" t="str">
        <f t="shared" si="3"/>
        <v>May</v>
      </c>
      <c r="N104" s="14">
        <v>5</v>
      </c>
      <c r="O104" s="14">
        <f t="shared" si="4"/>
        <v>4495</v>
      </c>
      <c r="P104" s="15">
        <f t="shared" si="5"/>
        <v>33.333333333333329</v>
      </c>
      <c r="Q104" s="11" t="s">
        <v>8</v>
      </c>
      <c r="R104" s="14">
        <v>4.9000000000000004</v>
      </c>
      <c r="S104" s="11" t="s">
        <v>9</v>
      </c>
    </row>
    <row r="105" spans="1:19" x14ac:dyDescent="0.3">
      <c r="A105" s="16">
        <v>104</v>
      </c>
      <c r="B105" s="16" t="s">
        <v>268</v>
      </c>
      <c r="C105" s="16" t="s">
        <v>269</v>
      </c>
      <c r="D105" s="16" t="s">
        <v>7</v>
      </c>
      <c r="E105" s="16" t="s">
        <v>455</v>
      </c>
      <c r="F105" s="17">
        <v>46163</v>
      </c>
      <c r="G105" s="16" t="s">
        <v>354</v>
      </c>
      <c r="H105" s="16" t="s">
        <v>179</v>
      </c>
      <c r="I105" s="16" t="s">
        <v>190</v>
      </c>
      <c r="J105" s="16" t="s">
        <v>181</v>
      </c>
      <c r="K105" s="18">
        <v>800</v>
      </c>
      <c r="L105" s="16">
        <v>14</v>
      </c>
      <c r="M105" s="11" t="str">
        <f t="shared" si="3"/>
        <v>May</v>
      </c>
      <c r="N105" s="19">
        <v>4</v>
      </c>
      <c r="O105" s="14">
        <f t="shared" si="4"/>
        <v>3200</v>
      </c>
      <c r="P105" s="15">
        <f t="shared" si="5"/>
        <v>28.571428571428569</v>
      </c>
      <c r="Q105" s="16" t="s">
        <v>8</v>
      </c>
      <c r="R105" s="19">
        <v>4.5</v>
      </c>
      <c r="S105" s="16" t="s">
        <v>9</v>
      </c>
    </row>
    <row r="106" spans="1:19" x14ac:dyDescent="0.3">
      <c r="A106" s="11">
        <v>105</v>
      </c>
      <c r="B106" s="11" t="s">
        <v>270</v>
      </c>
      <c r="C106" s="11" t="s">
        <v>271</v>
      </c>
      <c r="D106" s="11" t="s">
        <v>12</v>
      </c>
      <c r="E106" s="11" t="s">
        <v>456</v>
      </c>
      <c r="F106" s="12">
        <v>46164</v>
      </c>
      <c r="G106" s="11" t="s">
        <v>43</v>
      </c>
      <c r="H106" s="11" t="s">
        <v>185</v>
      </c>
      <c r="I106" s="11" t="s">
        <v>197</v>
      </c>
      <c r="J106" s="11" t="s">
        <v>181</v>
      </c>
      <c r="K106" s="13">
        <v>900</v>
      </c>
      <c r="L106" s="11">
        <v>12</v>
      </c>
      <c r="M106" s="11" t="str">
        <f t="shared" si="3"/>
        <v>May</v>
      </c>
      <c r="N106" s="14">
        <v>2</v>
      </c>
      <c r="O106" s="14">
        <f t="shared" si="4"/>
        <v>1800</v>
      </c>
      <c r="P106" s="15">
        <f t="shared" si="5"/>
        <v>16.666666666666664</v>
      </c>
      <c r="Q106" s="11" t="s">
        <v>188</v>
      </c>
      <c r="R106" s="14">
        <v>4.8</v>
      </c>
      <c r="S106" s="11" t="s">
        <v>9</v>
      </c>
    </row>
    <row r="107" spans="1:19" x14ac:dyDescent="0.3">
      <c r="A107" s="16">
        <v>106</v>
      </c>
      <c r="B107" s="16" t="s">
        <v>272</v>
      </c>
      <c r="C107" s="16" t="s">
        <v>273</v>
      </c>
      <c r="D107" s="16" t="s">
        <v>7</v>
      </c>
      <c r="E107" s="16" t="s">
        <v>457</v>
      </c>
      <c r="F107" s="17">
        <v>46164</v>
      </c>
      <c r="G107" s="16" t="s">
        <v>105</v>
      </c>
      <c r="H107" s="16" t="s">
        <v>182</v>
      </c>
      <c r="I107" s="16" t="s">
        <v>193</v>
      </c>
      <c r="J107" s="16" t="s">
        <v>191</v>
      </c>
      <c r="K107" s="18">
        <v>500</v>
      </c>
      <c r="L107" s="16">
        <v>14</v>
      </c>
      <c r="M107" s="11" t="str">
        <f t="shared" si="3"/>
        <v>May</v>
      </c>
      <c r="N107" s="19">
        <v>4</v>
      </c>
      <c r="O107" s="14">
        <f t="shared" si="4"/>
        <v>2000</v>
      </c>
      <c r="P107" s="15">
        <f t="shared" si="5"/>
        <v>28.571428571428569</v>
      </c>
      <c r="Q107" s="16" t="s">
        <v>192</v>
      </c>
      <c r="R107" s="19">
        <v>4.0999999999999996</v>
      </c>
      <c r="S107" s="16" t="s">
        <v>9</v>
      </c>
    </row>
    <row r="108" spans="1:19" x14ac:dyDescent="0.3">
      <c r="A108" s="11">
        <v>107</v>
      </c>
      <c r="B108" s="11" t="s">
        <v>274</v>
      </c>
      <c r="C108" s="11" t="s">
        <v>275</v>
      </c>
      <c r="D108" s="11" t="s">
        <v>12</v>
      </c>
      <c r="E108" s="11" t="s">
        <v>458</v>
      </c>
      <c r="F108" s="12">
        <v>46165</v>
      </c>
      <c r="G108" s="11" t="s">
        <v>54</v>
      </c>
      <c r="H108" s="11" t="s">
        <v>196</v>
      </c>
      <c r="I108" s="11" t="s">
        <v>199</v>
      </c>
      <c r="J108" s="11" t="s">
        <v>181</v>
      </c>
      <c r="K108" s="13">
        <v>2999</v>
      </c>
      <c r="L108" s="11">
        <v>10</v>
      </c>
      <c r="M108" s="11" t="str">
        <f t="shared" si="3"/>
        <v>May</v>
      </c>
      <c r="N108" s="14">
        <v>8</v>
      </c>
      <c r="O108" s="14">
        <f t="shared" si="4"/>
        <v>23992</v>
      </c>
      <c r="P108" s="15">
        <f t="shared" si="5"/>
        <v>80</v>
      </c>
      <c r="Q108" s="11" t="s">
        <v>8</v>
      </c>
      <c r="R108" s="14">
        <v>4.9000000000000004</v>
      </c>
      <c r="S108" s="11" t="s">
        <v>9</v>
      </c>
    </row>
    <row r="109" spans="1:19" x14ac:dyDescent="0.3">
      <c r="A109" s="16">
        <v>108</v>
      </c>
      <c r="B109" s="16" t="s">
        <v>276</v>
      </c>
      <c r="C109" s="16" t="s">
        <v>277</v>
      </c>
      <c r="D109" s="16" t="s">
        <v>7</v>
      </c>
      <c r="E109" s="16" t="s">
        <v>459</v>
      </c>
      <c r="F109" s="17">
        <v>46165</v>
      </c>
      <c r="G109" s="16" t="s">
        <v>61</v>
      </c>
      <c r="H109" s="16" t="s">
        <v>200</v>
      </c>
      <c r="I109" s="16" t="s">
        <v>198</v>
      </c>
      <c r="J109" s="16" t="s">
        <v>181</v>
      </c>
      <c r="K109" s="18">
        <v>900</v>
      </c>
      <c r="L109" s="16">
        <v>10</v>
      </c>
      <c r="M109" s="11" t="str">
        <f t="shared" si="3"/>
        <v>May</v>
      </c>
      <c r="N109" s="19">
        <v>6</v>
      </c>
      <c r="O109" s="14">
        <f t="shared" si="4"/>
        <v>5400</v>
      </c>
      <c r="P109" s="15">
        <f t="shared" si="5"/>
        <v>60</v>
      </c>
      <c r="Q109" s="16" t="s">
        <v>8</v>
      </c>
      <c r="R109" s="19">
        <v>4.5999999999999996</v>
      </c>
      <c r="S109" s="16" t="s">
        <v>9</v>
      </c>
    </row>
    <row r="110" spans="1:19" x14ac:dyDescent="0.3">
      <c r="A110" s="11">
        <v>109</v>
      </c>
      <c r="B110" s="11" t="s">
        <v>278</v>
      </c>
      <c r="C110" s="11" t="s">
        <v>279</v>
      </c>
      <c r="D110" s="11" t="s">
        <v>12</v>
      </c>
      <c r="E110" s="11" t="s">
        <v>460</v>
      </c>
      <c r="F110" s="12">
        <v>46166</v>
      </c>
      <c r="G110" s="11" t="s">
        <v>551</v>
      </c>
      <c r="H110" s="11" t="s">
        <v>195</v>
      </c>
      <c r="I110" s="11" t="s">
        <v>180</v>
      </c>
      <c r="J110" s="11" t="s">
        <v>187</v>
      </c>
      <c r="K110" s="13">
        <v>900</v>
      </c>
      <c r="L110" s="11">
        <v>14</v>
      </c>
      <c r="M110" s="11" t="str">
        <f t="shared" si="3"/>
        <v>May</v>
      </c>
      <c r="N110" s="14">
        <v>4</v>
      </c>
      <c r="O110" s="14">
        <f t="shared" si="4"/>
        <v>3600</v>
      </c>
      <c r="P110" s="15">
        <f t="shared" si="5"/>
        <v>28.571428571428569</v>
      </c>
      <c r="Q110" s="11" t="s">
        <v>188</v>
      </c>
      <c r="R110" s="14">
        <v>4.3</v>
      </c>
      <c r="S110" s="11" t="s">
        <v>9</v>
      </c>
    </row>
    <row r="111" spans="1:19" x14ac:dyDescent="0.3">
      <c r="A111" s="16">
        <v>110</v>
      </c>
      <c r="B111" s="16" t="s">
        <v>280</v>
      </c>
      <c r="C111" s="16" t="s">
        <v>281</v>
      </c>
      <c r="D111" s="16" t="s">
        <v>7</v>
      </c>
      <c r="E111" s="16" t="s">
        <v>461</v>
      </c>
      <c r="F111" s="17">
        <v>46166</v>
      </c>
      <c r="G111" s="16" t="s">
        <v>352</v>
      </c>
      <c r="H111" s="16" t="s">
        <v>179</v>
      </c>
      <c r="I111" s="16" t="s">
        <v>194</v>
      </c>
      <c r="J111" s="16" t="s">
        <v>181</v>
      </c>
      <c r="K111" s="18">
        <v>600</v>
      </c>
      <c r="L111" s="16">
        <v>15</v>
      </c>
      <c r="M111" s="11" t="str">
        <f t="shared" si="3"/>
        <v>May</v>
      </c>
      <c r="N111" s="19">
        <v>5</v>
      </c>
      <c r="O111" s="14">
        <f t="shared" si="4"/>
        <v>3000</v>
      </c>
      <c r="P111" s="15">
        <f t="shared" si="5"/>
        <v>33.333333333333329</v>
      </c>
      <c r="Q111" s="16" t="s">
        <v>8</v>
      </c>
      <c r="R111" s="19">
        <v>4.7</v>
      </c>
      <c r="S111" s="16" t="s">
        <v>9</v>
      </c>
    </row>
    <row r="112" spans="1:19" x14ac:dyDescent="0.3">
      <c r="A112" s="11">
        <v>111</v>
      </c>
      <c r="B112" s="11" t="s">
        <v>282</v>
      </c>
      <c r="C112" s="11" t="s">
        <v>283</v>
      </c>
      <c r="D112" s="11" t="s">
        <v>12</v>
      </c>
      <c r="E112" s="11" t="s">
        <v>462</v>
      </c>
      <c r="F112" s="12">
        <v>46174</v>
      </c>
      <c r="G112" s="11" t="s">
        <v>69</v>
      </c>
      <c r="H112" s="11" t="s">
        <v>182</v>
      </c>
      <c r="I112" s="11" t="s">
        <v>180</v>
      </c>
      <c r="J112" s="11" t="s">
        <v>181</v>
      </c>
      <c r="K112" s="13">
        <v>899</v>
      </c>
      <c r="L112" s="11">
        <v>18</v>
      </c>
      <c r="M112" s="11" t="str">
        <f t="shared" si="3"/>
        <v>June</v>
      </c>
      <c r="N112" s="14">
        <v>3</v>
      </c>
      <c r="O112" s="14">
        <f t="shared" si="4"/>
        <v>2697</v>
      </c>
      <c r="P112" s="15">
        <f t="shared" si="5"/>
        <v>16.666666666666664</v>
      </c>
      <c r="Q112" s="11" t="s">
        <v>8</v>
      </c>
      <c r="R112" s="14">
        <v>4.8</v>
      </c>
      <c r="S112" s="11" t="s">
        <v>9</v>
      </c>
    </row>
    <row r="113" spans="1:19" x14ac:dyDescent="0.3">
      <c r="A113" s="16">
        <v>112</v>
      </c>
      <c r="B113" s="16" t="s">
        <v>284</v>
      </c>
      <c r="C113" s="16" t="s">
        <v>285</v>
      </c>
      <c r="D113" s="16" t="s">
        <v>7</v>
      </c>
      <c r="E113" s="16" t="s">
        <v>463</v>
      </c>
      <c r="F113" s="17">
        <v>46174</v>
      </c>
      <c r="G113" s="16" t="s">
        <v>35</v>
      </c>
      <c r="H113" s="16" t="s">
        <v>185</v>
      </c>
      <c r="I113" s="16" t="s">
        <v>194</v>
      </c>
      <c r="J113" s="16" t="s">
        <v>181</v>
      </c>
      <c r="K113" s="18">
        <v>999</v>
      </c>
      <c r="L113" s="16">
        <v>12</v>
      </c>
      <c r="M113" s="11" t="str">
        <f t="shared" si="3"/>
        <v>June</v>
      </c>
      <c r="N113" s="19">
        <v>7</v>
      </c>
      <c r="O113" s="14">
        <f t="shared" si="4"/>
        <v>6993</v>
      </c>
      <c r="P113" s="15">
        <f t="shared" si="5"/>
        <v>58.333333333333336</v>
      </c>
      <c r="Q113" s="16" t="s">
        <v>8</v>
      </c>
      <c r="R113" s="19">
        <v>4.5</v>
      </c>
      <c r="S113" s="16" t="s">
        <v>9</v>
      </c>
    </row>
    <row r="114" spans="1:19" x14ac:dyDescent="0.3">
      <c r="A114" s="11">
        <v>113</v>
      </c>
      <c r="B114" s="11" t="s">
        <v>286</v>
      </c>
      <c r="C114" s="11" t="s">
        <v>287</v>
      </c>
      <c r="D114" s="11" t="s">
        <v>12</v>
      </c>
      <c r="E114" s="11" t="s">
        <v>464</v>
      </c>
      <c r="F114" s="12">
        <v>46175</v>
      </c>
      <c r="G114" s="11" t="s">
        <v>54</v>
      </c>
      <c r="H114" s="11" t="s">
        <v>196</v>
      </c>
      <c r="I114" s="11" t="s">
        <v>186</v>
      </c>
      <c r="J114" s="11" t="s">
        <v>181</v>
      </c>
      <c r="K114" s="13">
        <v>2999</v>
      </c>
      <c r="L114" s="11">
        <v>10</v>
      </c>
      <c r="M114" s="11" t="str">
        <f t="shared" si="3"/>
        <v>June</v>
      </c>
      <c r="N114" s="14">
        <v>9</v>
      </c>
      <c r="O114" s="14">
        <f t="shared" si="4"/>
        <v>26991</v>
      </c>
      <c r="P114" s="15">
        <f t="shared" si="5"/>
        <v>90</v>
      </c>
      <c r="Q114" s="11" t="s">
        <v>188</v>
      </c>
      <c r="R114" s="14">
        <v>4.9000000000000004</v>
      </c>
      <c r="S114" s="11" t="s">
        <v>9</v>
      </c>
    </row>
    <row r="115" spans="1:19" x14ac:dyDescent="0.3">
      <c r="A115" s="16">
        <v>114</v>
      </c>
      <c r="B115" s="16" t="s">
        <v>288</v>
      </c>
      <c r="C115" s="16" t="s">
        <v>289</v>
      </c>
      <c r="D115" s="16" t="s">
        <v>7</v>
      </c>
      <c r="E115" s="16" t="s">
        <v>465</v>
      </c>
      <c r="F115" s="17">
        <v>46175</v>
      </c>
      <c r="G115" s="16" t="s">
        <v>28</v>
      </c>
      <c r="H115" s="16" t="s">
        <v>185</v>
      </c>
      <c r="I115" s="16" t="s">
        <v>189</v>
      </c>
      <c r="J115" s="16" t="s">
        <v>187</v>
      </c>
      <c r="K115" s="18">
        <v>700</v>
      </c>
      <c r="L115" s="16">
        <v>12</v>
      </c>
      <c r="M115" s="11" t="str">
        <f t="shared" si="3"/>
        <v>June</v>
      </c>
      <c r="N115" s="19">
        <v>6</v>
      </c>
      <c r="O115" s="14">
        <f t="shared" si="4"/>
        <v>4200</v>
      </c>
      <c r="P115" s="15">
        <f t="shared" si="5"/>
        <v>50</v>
      </c>
      <c r="Q115" s="16" t="s">
        <v>8</v>
      </c>
      <c r="R115" s="19">
        <v>4.2</v>
      </c>
      <c r="S115" s="16" t="s">
        <v>9</v>
      </c>
    </row>
    <row r="116" spans="1:19" x14ac:dyDescent="0.3">
      <c r="A116" s="11">
        <v>115</v>
      </c>
      <c r="B116" s="11" t="s">
        <v>290</v>
      </c>
      <c r="C116" s="11" t="s">
        <v>291</v>
      </c>
      <c r="D116" s="11" t="s">
        <v>12</v>
      </c>
      <c r="E116" s="11" t="s">
        <v>466</v>
      </c>
      <c r="F116" s="12">
        <v>46176</v>
      </c>
      <c r="G116" s="11" t="s">
        <v>359</v>
      </c>
      <c r="H116" s="11" t="s">
        <v>179</v>
      </c>
      <c r="I116" s="11" t="s">
        <v>190</v>
      </c>
      <c r="J116" s="11" t="s">
        <v>181</v>
      </c>
      <c r="K116" s="13">
        <v>600</v>
      </c>
      <c r="L116" s="11">
        <v>12</v>
      </c>
      <c r="M116" s="11" t="str">
        <f t="shared" si="3"/>
        <v>June</v>
      </c>
      <c r="N116" s="14">
        <v>6</v>
      </c>
      <c r="O116" s="14">
        <f t="shared" si="4"/>
        <v>3600</v>
      </c>
      <c r="P116" s="15">
        <f t="shared" si="5"/>
        <v>50</v>
      </c>
      <c r="Q116" s="11" t="s">
        <v>8</v>
      </c>
      <c r="R116" s="14">
        <v>4.7</v>
      </c>
      <c r="S116" s="11" t="s">
        <v>9</v>
      </c>
    </row>
    <row r="117" spans="1:19" x14ac:dyDescent="0.3">
      <c r="A117" s="16">
        <v>116</v>
      </c>
      <c r="B117" s="16" t="s">
        <v>292</v>
      </c>
      <c r="C117" s="16" t="s">
        <v>293</v>
      </c>
      <c r="D117" s="16" t="s">
        <v>7</v>
      </c>
      <c r="E117" s="16" t="s">
        <v>467</v>
      </c>
      <c r="F117" s="17">
        <v>46176</v>
      </c>
      <c r="G117" s="16" t="s">
        <v>358</v>
      </c>
      <c r="H117" s="16" t="s">
        <v>182</v>
      </c>
      <c r="I117" s="16" t="s">
        <v>197</v>
      </c>
      <c r="J117" s="16" t="s">
        <v>181</v>
      </c>
      <c r="K117" s="18">
        <v>900</v>
      </c>
      <c r="L117" s="16">
        <v>15</v>
      </c>
      <c r="M117" s="11" t="str">
        <f t="shared" si="3"/>
        <v>June</v>
      </c>
      <c r="N117" s="19">
        <v>5</v>
      </c>
      <c r="O117" s="14">
        <f t="shared" si="4"/>
        <v>4500</v>
      </c>
      <c r="P117" s="15">
        <f t="shared" si="5"/>
        <v>33.333333333333329</v>
      </c>
      <c r="Q117" s="16" t="s">
        <v>192</v>
      </c>
      <c r="R117" s="19">
        <v>4.4000000000000004</v>
      </c>
      <c r="S117" s="16" t="s">
        <v>9</v>
      </c>
    </row>
    <row r="118" spans="1:19" x14ac:dyDescent="0.3">
      <c r="A118" s="11">
        <v>117</v>
      </c>
      <c r="B118" s="11" t="s">
        <v>294</v>
      </c>
      <c r="C118" s="11" t="s">
        <v>295</v>
      </c>
      <c r="D118" s="11" t="s">
        <v>12</v>
      </c>
      <c r="E118" s="11" t="s">
        <v>468</v>
      </c>
      <c r="F118" s="12">
        <v>46177</v>
      </c>
      <c r="G118" s="21" t="s">
        <v>356</v>
      </c>
      <c r="H118" s="11" t="s">
        <v>195</v>
      </c>
      <c r="I118" s="11" t="s">
        <v>193</v>
      </c>
      <c r="J118" s="11" t="s">
        <v>191</v>
      </c>
      <c r="K118" s="13">
        <v>600</v>
      </c>
      <c r="L118" s="11">
        <v>14</v>
      </c>
      <c r="M118" s="11" t="str">
        <f t="shared" si="3"/>
        <v>June</v>
      </c>
      <c r="N118" s="14">
        <v>4</v>
      </c>
      <c r="O118" s="14">
        <f t="shared" si="4"/>
        <v>2400</v>
      </c>
      <c r="P118" s="15">
        <f t="shared" si="5"/>
        <v>28.571428571428569</v>
      </c>
      <c r="Q118" s="11" t="s">
        <v>8</v>
      </c>
      <c r="R118" s="14">
        <v>4.2</v>
      </c>
      <c r="S118" s="11" t="s">
        <v>9</v>
      </c>
    </row>
    <row r="119" spans="1:19" x14ac:dyDescent="0.3">
      <c r="A119" s="16">
        <v>118</v>
      </c>
      <c r="B119" s="16" t="s">
        <v>296</v>
      </c>
      <c r="C119" s="16" t="s">
        <v>297</v>
      </c>
      <c r="D119" s="16" t="s">
        <v>7</v>
      </c>
      <c r="E119" s="16" t="s">
        <v>469</v>
      </c>
      <c r="F119" s="17">
        <v>46177</v>
      </c>
      <c r="G119" s="16" t="s">
        <v>51</v>
      </c>
      <c r="H119" s="16" t="s">
        <v>200</v>
      </c>
      <c r="I119" s="16" t="s">
        <v>199</v>
      </c>
      <c r="J119" s="16" t="s">
        <v>181</v>
      </c>
      <c r="K119" s="18">
        <v>900</v>
      </c>
      <c r="L119" s="16">
        <v>12</v>
      </c>
      <c r="M119" s="11" t="str">
        <f t="shared" si="3"/>
        <v>June</v>
      </c>
      <c r="N119" s="19">
        <v>12</v>
      </c>
      <c r="O119" s="14">
        <f t="shared" si="4"/>
        <v>10800</v>
      </c>
      <c r="P119" s="15">
        <f t="shared" si="5"/>
        <v>100</v>
      </c>
      <c r="Q119" s="16" t="s">
        <v>8</v>
      </c>
      <c r="R119" s="19">
        <v>4.9000000000000004</v>
      </c>
      <c r="S119" s="16" t="s">
        <v>9</v>
      </c>
    </row>
    <row r="120" spans="1:19" x14ac:dyDescent="0.3">
      <c r="A120" s="11">
        <v>119</v>
      </c>
      <c r="B120" s="11" t="s">
        <v>298</v>
      </c>
      <c r="C120" s="11" t="s">
        <v>299</v>
      </c>
      <c r="D120" s="11" t="s">
        <v>12</v>
      </c>
      <c r="E120" s="11" t="s">
        <v>470</v>
      </c>
      <c r="F120" s="12">
        <v>46178</v>
      </c>
      <c r="G120" s="11" t="s">
        <v>48</v>
      </c>
      <c r="H120" s="11" t="s">
        <v>182</v>
      </c>
      <c r="I120" s="11" t="s">
        <v>198</v>
      </c>
      <c r="J120" s="11" t="s">
        <v>181</v>
      </c>
      <c r="K120" s="13">
        <v>800</v>
      </c>
      <c r="L120" s="11">
        <v>18</v>
      </c>
      <c r="M120" s="11" t="str">
        <f t="shared" si="3"/>
        <v>June</v>
      </c>
      <c r="N120" s="14">
        <v>10</v>
      </c>
      <c r="O120" s="14">
        <f t="shared" si="4"/>
        <v>8000</v>
      </c>
      <c r="P120" s="15">
        <f t="shared" si="5"/>
        <v>55.555555555555557</v>
      </c>
      <c r="Q120" s="11" t="s">
        <v>188</v>
      </c>
      <c r="R120" s="14">
        <v>4.5999999999999996</v>
      </c>
      <c r="S120" s="11" t="s">
        <v>9</v>
      </c>
    </row>
    <row r="121" spans="1:19" x14ac:dyDescent="0.3">
      <c r="A121" s="16">
        <v>120</v>
      </c>
      <c r="B121" s="16" t="s">
        <v>300</v>
      </c>
      <c r="C121" s="16" t="s">
        <v>301</v>
      </c>
      <c r="D121" s="16" t="s">
        <v>7</v>
      </c>
      <c r="E121" s="16" t="s">
        <v>471</v>
      </c>
      <c r="F121" s="17">
        <v>46178</v>
      </c>
      <c r="G121" s="16" t="s">
        <v>357</v>
      </c>
      <c r="H121" s="16" t="s">
        <v>179</v>
      </c>
      <c r="I121" s="16" t="s">
        <v>180</v>
      </c>
      <c r="J121" s="16" t="s">
        <v>181</v>
      </c>
      <c r="K121" s="18">
        <v>800</v>
      </c>
      <c r="L121" s="16">
        <v>14</v>
      </c>
      <c r="M121" s="11" t="str">
        <f t="shared" si="3"/>
        <v>June</v>
      </c>
      <c r="N121" s="19">
        <v>4</v>
      </c>
      <c r="O121" s="14">
        <f t="shared" si="4"/>
        <v>3200</v>
      </c>
      <c r="P121" s="15">
        <f t="shared" si="5"/>
        <v>28.571428571428569</v>
      </c>
      <c r="Q121" s="16" t="s">
        <v>8</v>
      </c>
      <c r="R121" s="19">
        <v>4.5</v>
      </c>
      <c r="S121" s="16" t="s">
        <v>9</v>
      </c>
    </row>
    <row r="122" spans="1:19" x14ac:dyDescent="0.3">
      <c r="A122" s="11">
        <v>121</v>
      </c>
      <c r="B122" s="11" t="s">
        <v>302</v>
      </c>
      <c r="C122" s="11" t="s">
        <v>303</v>
      </c>
      <c r="D122" s="11" t="s">
        <v>12</v>
      </c>
      <c r="E122" s="11" t="s">
        <v>363</v>
      </c>
      <c r="F122" s="12">
        <v>46179</v>
      </c>
      <c r="G122" s="11" t="s">
        <v>355</v>
      </c>
      <c r="H122" s="11" t="s">
        <v>185</v>
      </c>
      <c r="I122" s="11" t="s">
        <v>194</v>
      </c>
      <c r="J122" s="11" t="s">
        <v>181</v>
      </c>
      <c r="K122" s="13">
        <v>1500</v>
      </c>
      <c r="L122" s="11">
        <v>12</v>
      </c>
      <c r="M122" s="11" t="str">
        <f t="shared" si="3"/>
        <v>June</v>
      </c>
      <c r="N122" s="14">
        <v>8</v>
      </c>
      <c r="O122" s="14">
        <f t="shared" si="4"/>
        <v>12000</v>
      </c>
      <c r="P122" s="15">
        <f t="shared" si="5"/>
        <v>66.666666666666657</v>
      </c>
      <c r="Q122" s="11" t="s">
        <v>8</v>
      </c>
      <c r="R122" s="14">
        <v>4.8</v>
      </c>
      <c r="S122" s="11" t="s">
        <v>9</v>
      </c>
    </row>
    <row r="123" spans="1:19" x14ac:dyDescent="0.3">
      <c r="A123" s="16">
        <v>122</v>
      </c>
      <c r="B123" s="16" t="s">
        <v>304</v>
      </c>
      <c r="C123" s="16" t="s">
        <v>305</v>
      </c>
      <c r="D123" s="16" t="s">
        <v>7</v>
      </c>
      <c r="E123" s="16" t="s">
        <v>472</v>
      </c>
      <c r="F123" s="17">
        <v>46179</v>
      </c>
      <c r="G123" s="16" t="s">
        <v>353</v>
      </c>
      <c r="H123" s="16" t="s">
        <v>185</v>
      </c>
      <c r="I123" s="16" t="s">
        <v>186</v>
      </c>
      <c r="J123" s="16" t="s">
        <v>187</v>
      </c>
      <c r="K123" s="18">
        <v>800</v>
      </c>
      <c r="L123" s="16">
        <v>18</v>
      </c>
      <c r="M123" s="11" t="str">
        <f t="shared" si="3"/>
        <v>June</v>
      </c>
      <c r="N123" s="19">
        <v>3</v>
      </c>
      <c r="O123" s="14">
        <f t="shared" si="4"/>
        <v>2400</v>
      </c>
      <c r="P123" s="15">
        <f t="shared" si="5"/>
        <v>16.666666666666664</v>
      </c>
      <c r="Q123" s="16" t="s">
        <v>188</v>
      </c>
      <c r="R123" s="19">
        <v>4.3</v>
      </c>
      <c r="S123" s="16" t="s">
        <v>9</v>
      </c>
    </row>
    <row r="124" spans="1:19" x14ac:dyDescent="0.3">
      <c r="A124" s="11">
        <v>123</v>
      </c>
      <c r="B124" s="11" t="s">
        <v>306</v>
      </c>
      <c r="C124" s="11" t="s">
        <v>307</v>
      </c>
      <c r="D124" s="11" t="s">
        <v>12</v>
      </c>
      <c r="E124" s="11" t="s">
        <v>473</v>
      </c>
      <c r="F124" s="12">
        <v>46180</v>
      </c>
      <c r="G124" s="11" t="s">
        <v>69</v>
      </c>
      <c r="H124" s="11" t="s">
        <v>182</v>
      </c>
      <c r="I124" s="11" t="s">
        <v>189</v>
      </c>
      <c r="J124" s="11" t="s">
        <v>181</v>
      </c>
      <c r="K124" s="13">
        <v>899</v>
      </c>
      <c r="L124" s="11">
        <v>14</v>
      </c>
      <c r="M124" s="11" t="str">
        <f t="shared" si="3"/>
        <v>June</v>
      </c>
      <c r="N124" s="14">
        <v>5</v>
      </c>
      <c r="O124" s="14">
        <f t="shared" si="4"/>
        <v>4495</v>
      </c>
      <c r="P124" s="15">
        <f t="shared" si="5"/>
        <v>35.714285714285715</v>
      </c>
      <c r="Q124" s="11" t="s">
        <v>8</v>
      </c>
      <c r="R124" s="14">
        <v>4.9000000000000004</v>
      </c>
      <c r="S124" s="11" t="s">
        <v>9</v>
      </c>
    </row>
    <row r="125" spans="1:19" x14ac:dyDescent="0.3">
      <c r="A125" s="16">
        <v>124</v>
      </c>
      <c r="B125" s="16" t="s">
        <v>308</v>
      </c>
      <c r="C125" s="16" t="s">
        <v>309</v>
      </c>
      <c r="D125" s="16" t="s">
        <v>7</v>
      </c>
      <c r="E125" s="16" t="s">
        <v>435</v>
      </c>
      <c r="F125" s="17">
        <v>46180</v>
      </c>
      <c r="G125" s="16" t="s">
        <v>354</v>
      </c>
      <c r="H125" s="16" t="s">
        <v>179</v>
      </c>
      <c r="I125" s="16" t="s">
        <v>190</v>
      </c>
      <c r="J125" s="16" t="s">
        <v>181</v>
      </c>
      <c r="K125" s="18">
        <v>800</v>
      </c>
      <c r="L125" s="16">
        <v>15</v>
      </c>
      <c r="M125" s="11" t="str">
        <f t="shared" si="3"/>
        <v>June</v>
      </c>
      <c r="N125" s="19">
        <v>5</v>
      </c>
      <c r="O125" s="14">
        <f t="shared" si="4"/>
        <v>4000</v>
      </c>
      <c r="P125" s="15">
        <f t="shared" si="5"/>
        <v>33.333333333333329</v>
      </c>
      <c r="Q125" s="16" t="s">
        <v>8</v>
      </c>
      <c r="R125" s="19">
        <v>4.5</v>
      </c>
      <c r="S125" s="16" t="s">
        <v>9</v>
      </c>
    </row>
    <row r="126" spans="1:19" x14ac:dyDescent="0.3">
      <c r="A126" s="11">
        <v>125</v>
      </c>
      <c r="B126" s="11" t="s">
        <v>310</v>
      </c>
      <c r="C126" s="11" t="s">
        <v>311</v>
      </c>
      <c r="D126" s="11" t="s">
        <v>12</v>
      </c>
      <c r="E126" s="11" t="s">
        <v>474</v>
      </c>
      <c r="F126" s="12">
        <v>46181</v>
      </c>
      <c r="G126" s="11" t="s">
        <v>43</v>
      </c>
      <c r="H126" s="11" t="s">
        <v>185</v>
      </c>
      <c r="I126" s="11" t="s">
        <v>197</v>
      </c>
      <c r="J126" s="11" t="s">
        <v>181</v>
      </c>
      <c r="K126" s="13">
        <v>900</v>
      </c>
      <c r="L126" s="11">
        <v>12</v>
      </c>
      <c r="M126" s="11" t="str">
        <f t="shared" si="3"/>
        <v>June</v>
      </c>
      <c r="N126" s="14">
        <v>12</v>
      </c>
      <c r="O126" s="14">
        <f t="shared" si="4"/>
        <v>10800</v>
      </c>
      <c r="P126" s="15">
        <f t="shared" si="5"/>
        <v>100</v>
      </c>
      <c r="Q126" s="11" t="s">
        <v>188</v>
      </c>
      <c r="R126" s="14">
        <v>4.7</v>
      </c>
      <c r="S126" s="11" t="s">
        <v>9</v>
      </c>
    </row>
    <row r="127" spans="1:19" x14ac:dyDescent="0.3">
      <c r="A127" s="16">
        <v>126</v>
      </c>
      <c r="B127" s="16" t="s">
        <v>312</v>
      </c>
      <c r="C127" s="16" t="s">
        <v>313</v>
      </c>
      <c r="D127" s="16" t="s">
        <v>7</v>
      </c>
      <c r="E127" s="16" t="s">
        <v>475</v>
      </c>
      <c r="F127" s="17">
        <v>46181</v>
      </c>
      <c r="G127" s="16" t="s">
        <v>105</v>
      </c>
      <c r="H127" s="16" t="s">
        <v>182</v>
      </c>
      <c r="I127" s="16" t="s">
        <v>193</v>
      </c>
      <c r="J127" s="16" t="s">
        <v>191</v>
      </c>
      <c r="K127" s="18">
        <v>500</v>
      </c>
      <c r="L127" s="16">
        <v>14</v>
      </c>
      <c r="M127" s="11" t="str">
        <f t="shared" si="3"/>
        <v>June</v>
      </c>
      <c r="N127" s="19">
        <v>4</v>
      </c>
      <c r="O127" s="14">
        <f t="shared" si="4"/>
        <v>2000</v>
      </c>
      <c r="P127" s="15">
        <f t="shared" si="5"/>
        <v>28.571428571428569</v>
      </c>
      <c r="Q127" s="16" t="s">
        <v>192</v>
      </c>
      <c r="R127" s="19">
        <v>4.0999999999999996</v>
      </c>
      <c r="S127" s="16" t="s">
        <v>9</v>
      </c>
    </row>
    <row r="128" spans="1:19" x14ac:dyDescent="0.3">
      <c r="A128" s="11">
        <v>127</v>
      </c>
      <c r="B128" s="11" t="s">
        <v>314</v>
      </c>
      <c r="C128" s="11" t="s">
        <v>315</v>
      </c>
      <c r="D128" s="11" t="s">
        <v>12</v>
      </c>
      <c r="E128" s="11" t="s">
        <v>476</v>
      </c>
      <c r="F128" s="12">
        <v>46182</v>
      </c>
      <c r="G128" s="11" t="s">
        <v>54</v>
      </c>
      <c r="H128" s="11" t="s">
        <v>196</v>
      </c>
      <c r="I128" s="11" t="s">
        <v>199</v>
      </c>
      <c r="J128" s="11" t="s">
        <v>181</v>
      </c>
      <c r="K128" s="13">
        <v>2999</v>
      </c>
      <c r="L128" s="11">
        <v>10</v>
      </c>
      <c r="M128" s="11" t="str">
        <f t="shared" si="3"/>
        <v>June</v>
      </c>
      <c r="N128" s="14">
        <v>8</v>
      </c>
      <c r="O128" s="14">
        <f t="shared" si="4"/>
        <v>23992</v>
      </c>
      <c r="P128" s="15">
        <f t="shared" si="5"/>
        <v>80</v>
      </c>
      <c r="Q128" s="11" t="s">
        <v>8</v>
      </c>
      <c r="R128" s="14">
        <v>4.9000000000000004</v>
      </c>
      <c r="S128" s="11" t="s">
        <v>9</v>
      </c>
    </row>
    <row r="129" spans="1:19" x14ac:dyDescent="0.3">
      <c r="A129" s="16">
        <v>128</v>
      </c>
      <c r="B129" s="16" t="s">
        <v>316</v>
      </c>
      <c r="C129" s="16" t="s">
        <v>317</v>
      </c>
      <c r="D129" s="16" t="s">
        <v>7</v>
      </c>
      <c r="E129" s="16" t="s">
        <v>318</v>
      </c>
      <c r="F129" s="17">
        <v>46182</v>
      </c>
      <c r="G129" s="16" t="s">
        <v>61</v>
      </c>
      <c r="H129" s="16" t="s">
        <v>200</v>
      </c>
      <c r="I129" s="16" t="s">
        <v>198</v>
      </c>
      <c r="J129" s="16" t="s">
        <v>181</v>
      </c>
      <c r="K129" s="18">
        <v>900</v>
      </c>
      <c r="L129" s="16">
        <v>10</v>
      </c>
      <c r="M129" s="11" t="str">
        <f t="shared" si="3"/>
        <v>June</v>
      </c>
      <c r="N129" s="19">
        <v>10</v>
      </c>
      <c r="O129" s="14">
        <f t="shared" si="4"/>
        <v>9000</v>
      </c>
      <c r="P129" s="15">
        <f t="shared" si="5"/>
        <v>100</v>
      </c>
      <c r="Q129" s="16" t="s">
        <v>8</v>
      </c>
      <c r="R129" s="19">
        <v>4.5999999999999996</v>
      </c>
      <c r="S129" s="16" t="s">
        <v>9</v>
      </c>
    </row>
    <row r="130" spans="1:19" x14ac:dyDescent="0.3">
      <c r="A130" s="11">
        <v>129</v>
      </c>
      <c r="B130" s="11" t="s">
        <v>319</v>
      </c>
      <c r="C130" s="11" t="s">
        <v>320</v>
      </c>
      <c r="D130" s="11" t="s">
        <v>12</v>
      </c>
      <c r="E130" s="11" t="s">
        <v>120</v>
      </c>
      <c r="F130" s="12">
        <v>46183</v>
      </c>
      <c r="G130" s="11" t="s">
        <v>551</v>
      </c>
      <c r="H130" s="11" t="s">
        <v>195</v>
      </c>
      <c r="I130" s="11" t="s">
        <v>180</v>
      </c>
      <c r="J130" s="11" t="s">
        <v>187</v>
      </c>
      <c r="K130" s="13">
        <v>900</v>
      </c>
      <c r="L130" s="11">
        <v>14</v>
      </c>
      <c r="M130" s="11" t="str">
        <f t="shared" si="3"/>
        <v>June</v>
      </c>
      <c r="N130" s="14">
        <v>4</v>
      </c>
      <c r="O130" s="14">
        <f t="shared" si="4"/>
        <v>3600</v>
      </c>
      <c r="P130" s="15">
        <f t="shared" si="5"/>
        <v>28.571428571428569</v>
      </c>
      <c r="Q130" s="11" t="s">
        <v>188</v>
      </c>
      <c r="R130" s="14">
        <v>4.3</v>
      </c>
      <c r="S130" s="11" t="s">
        <v>9</v>
      </c>
    </row>
    <row r="131" spans="1:19" x14ac:dyDescent="0.3">
      <c r="A131" s="16">
        <v>130</v>
      </c>
      <c r="B131" s="16" t="s">
        <v>321</v>
      </c>
      <c r="C131" s="16" t="s">
        <v>322</v>
      </c>
      <c r="D131" s="16" t="s">
        <v>7</v>
      </c>
      <c r="E131" s="16" t="s">
        <v>323</v>
      </c>
      <c r="F131" s="17">
        <v>46183</v>
      </c>
      <c r="G131" s="16" t="s">
        <v>352</v>
      </c>
      <c r="H131" s="16" t="s">
        <v>179</v>
      </c>
      <c r="I131" s="16" t="s">
        <v>194</v>
      </c>
      <c r="J131" s="16" t="s">
        <v>181</v>
      </c>
      <c r="K131" s="18">
        <v>600</v>
      </c>
      <c r="L131" s="16">
        <v>16</v>
      </c>
      <c r="M131" s="11" t="str">
        <f t="shared" ref="M131:M141" si="6">TEXT(F131,"mmmm")</f>
        <v>June</v>
      </c>
      <c r="N131" s="19">
        <v>6</v>
      </c>
      <c r="O131" s="14">
        <f t="shared" ref="O131:O141" si="7">K131*N131</f>
        <v>3600</v>
      </c>
      <c r="P131" s="15">
        <f t="shared" ref="P131:P141" si="8">N131/L131*100</f>
        <v>37.5</v>
      </c>
      <c r="Q131" s="16" t="s">
        <v>8</v>
      </c>
      <c r="R131" s="19">
        <v>4.7</v>
      </c>
      <c r="S131" s="16" t="s">
        <v>9</v>
      </c>
    </row>
    <row r="132" spans="1:19" x14ac:dyDescent="0.3">
      <c r="A132" s="11">
        <v>131</v>
      </c>
      <c r="B132" s="11" t="s">
        <v>324</v>
      </c>
      <c r="C132" s="11" t="s">
        <v>325</v>
      </c>
      <c r="D132" s="11" t="s">
        <v>12</v>
      </c>
      <c r="E132" s="11" t="s">
        <v>326</v>
      </c>
      <c r="F132" s="12">
        <v>46184</v>
      </c>
      <c r="G132" s="11" t="s">
        <v>69</v>
      </c>
      <c r="H132" s="11" t="s">
        <v>185</v>
      </c>
      <c r="I132" s="11" t="s">
        <v>186</v>
      </c>
      <c r="J132" s="11" t="s">
        <v>181</v>
      </c>
      <c r="K132" s="13">
        <v>899</v>
      </c>
      <c r="L132" s="11">
        <v>15</v>
      </c>
      <c r="M132" s="11" t="str">
        <f t="shared" si="6"/>
        <v>June</v>
      </c>
      <c r="N132" s="14">
        <v>5</v>
      </c>
      <c r="O132" s="14">
        <f t="shared" si="7"/>
        <v>4495</v>
      </c>
      <c r="P132" s="15">
        <f t="shared" si="8"/>
        <v>33.333333333333329</v>
      </c>
      <c r="Q132" s="11" t="s">
        <v>8</v>
      </c>
      <c r="R132" s="14">
        <v>4.8</v>
      </c>
      <c r="S132" s="11" t="s">
        <v>9</v>
      </c>
    </row>
    <row r="133" spans="1:19" x14ac:dyDescent="0.3">
      <c r="A133" s="16">
        <v>132</v>
      </c>
      <c r="B133" s="16" t="s">
        <v>327</v>
      </c>
      <c r="C133" s="16" t="s">
        <v>328</v>
      </c>
      <c r="D133" s="16" t="s">
        <v>7</v>
      </c>
      <c r="E133" s="16" t="s">
        <v>329</v>
      </c>
      <c r="F133" s="17">
        <v>46184</v>
      </c>
      <c r="G133" s="16" t="s">
        <v>28</v>
      </c>
      <c r="H133" s="16" t="s">
        <v>185</v>
      </c>
      <c r="I133" s="16" t="s">
        <v>189</v>
      </c>
      <c r="J133" s="16" t="s">
        <v>181</v>
      </c>
      <c r="K133" s="18">
        <v>700</v>
      </c>
      <c r="L133" s="16">
        <v>30</v>
      </c>
      <c r="M133" s="11" t="str">
        <f t="shared" si="6"/>
        <v>June</v>
      </c>
      <c r="N133" s="19">
        <v>3</v>
      </c>
      <c r="O133" s="14">
        <f t="shared" si="7"/>
        <v>2100</v>
      </c>
      <c r="P133" s="15">
        <f t="shared" si="8"/>
        <v>10</v>
      </c>
      <c r="Q133" s="16" t="s">
        <v>8</v>
      </c>
      <c r="R133" s="19">
        <v>4.4000000000000004</v>
      </c>
      <c r="S133" s="16" t="s">
        <v>9</v>
      </c>
    </row>
    <row r="134" spans="1:19" x14ac:dyDescent="0.3">
      <c r="A134" s="11">
        <v>133</v>
      </c>
      <c r="B134" s="11" t="s">
        <v>330</v>
      </c>
      <c r="C134" s="11" t="s">
        <v>331</v>
      </c>
      <c r="D134" s="11" t="s">
        <v>12</v>
      </c>
      <c r="E134" s="11" t="s">
        <v>332</v>
      </c>
      <c r="F134" s="12">
        <v>46185</v>
      </c>
      <c r="G134" s="11" t="s">
        <v>359</v>
      </c>
      <c r="H134" s="11" t="s">
        <v>182</v>
      </c>
      <c r="I134" s="11" t="s">
        <v>190</v>
      </c>
      <c r="J134" s="11" t="s">
        <v>181</v>
      </c>
      <c r="K134" s="13">
        <v>600</v>
      </c>
      <c r="L134" s="11">
        <v>20</v>
      </c>
      <c r="M134" s="11" t="str">
        <f t="shared" si="6"/>
        <v>June</v>
      </c>
      <c r="N134" s="14">
        <v>10</v>
      </c>
      <c r="O134" s="14">
        <f t="shared" si="7"/>
        <v>6000</v>
      </c>
      <c r="P134" s="15">
        <f t="shared" si="8"/>
        <v>50</v>
      </c>
      <c r="Q134" s="11" t="s">
        <v>188</v>
      </c>
      <c r="R134" s="14">
        <v>4.9000000000000004</v>
      </c>
      <c r="S134" s="11" t="s">
        <v>9</v>
      </c>
    </row>
    <row r="135" spans="1:19" x14ac:dyDescent="0.3">
      <c r="A135" s="16">
        <v>134</v>
      </c>
      <c r="B135" s="16" t="s">
        <v>333</v>
      </c>
      <c r="C135" s="16" t="s">
        <v>334</v>
      </c>
      <c r="D135" s="16" t="s">
        <v>7</v>
      </c>
      <c r="E135" s="16" t="s">
        <v>335</v>
      </c>
      <c r="F135" s="17">
        <v>46185</v>
      </c>
      <c r="G135" s="16" t="s">
        <v>35</v>
      </c>
      <c r="H135" s="16" t="s">
        <v>179</v>
      </c>
      <c r="I135" s="16" t="s">
        <v>197</v>
      </c>
      <c r="J135" s="16" t="s">
        <v>181</v>
      </c>
      <c r="K135" s="18">
        <v>999</v>
      </c>
      <c r="L135" s="16">
        <v>10</v>
      </c>
      <c r="M135" s="11" t="str">
        <f t="shared" si="6"/>
        <v>June</v>
      </c>
      <c r="N135" s="19">
        <v>4</v>
      </c>
      <c r="O135" s="14">
        <f t="shared" si="7"/>
        <v>3996</v>
      </c>
      <c r="P135" s="15">
        <f t="shared" si="8"/>
        <v>40</v>
      </c>
      <c r="Q135" s="16" t="s">
        <v>8</v>
      </c>
      <c r="R135" s="19">
        <v>4.5</v>
      </c>
      <c r="S135" s="16" t="s">
        <v>9</v>
      </c>
    </row>
    <row r="136" spans="1:19" x14ac:dyDescent="0.3">
      <c r="A136" s="11">
        <v>135</v>
      </c>
      <c r="B136" s="11" t="s">
        <v>336</v>
      </c>
      <c r="C136" s="11" t="s">
        <v>337</v>
      </c>
      <c r="D136" s="11" t="s">
        <v>12</v>
      </c>
      <c r="E136" s="11" t="s">
        <v>133</v>
      </c>
      <c r="F136" s="12">
        <v>46186</v>
      </c>
      <c r="G136" s="21" t="s">
        <v>356</v>
      </c>
      <c r="H136" s="11" t="s">
        <v>195</v>
      </c>
      <c r="I136" s="11" t="s">
        <v>193</v>
      </c>
      <c r="J136" s="11" t="s">
        <v>191</v>
      </c>
      <c r="K136" s="13">
        <v>600</v>
      </c>
      <c r="L136" s="11">
        <v>10</v>
      </c>
      <c r="M136" s="11" t="str">
        <f t="shared" si="6"/>
        <v>June</v>
      </c>
      <c r="N136" s="14">
        <v>5</v>
      </c>
      <c r="O136" s="14">
        <f t="shared" si="7"/>
        <v>3000</v>
      </c>
      <c r="P136" s="15">
        <f t="shared" si="8"/>
        <v>50</v>
      </c>
      <c r="Q136" s="11" t="s">
        <v>192</v>
      </c>
      <c r="R136" s="14">
        <v>3.9</v>
      </c>
      <c r="S136" s="11" t="s">
        <v>9</v>
      </c>
    </row>
    <row r="137" spans="1:19" x14ac:dyDescent="0.3">
      <c r="A137" s="16">
        <v>136</v>
      </c>
      <c r="B137" s="16" t="s">
        <v>338</v>
      </c>
      <c r="C137" s="16" t="s">
        <v>339</v>
      </c>
      <c r="D137" s="16" t="s">
        <v>7</v>
      </c>
      <c r="E137" s="16" t="s">
        <v>340</v>
      </c>
      <c r="F137" s="17">
        <v>46186</v>
      </c>
      <c r="G137" s="16" t="s">
        <v>51</v>
      </c>
      <c r="H137" s="16" t="s">
        <v>200</v>
      </c>
      <c r="I137" s="16" t="s">
        <v>199</v>
      </c>
      <c r="J137" s="16" t="s">
        <v>181</v>
      </c>
      <c r="K137" s="18">
        <v>900</v>
      </c>
      <c r="L137" s="16">
        <v>30</v>
      </c>
      <c r="M137" s="11" t="str">
        <f t="shared" si="6"/>
        <v>June</v>
      </c>
      <c r="N137" s="19">
        <v>3</v>
      </c>
      <c r="O137" s="14">
        <f t="shared" si="7"/>
        <v>2700</v>
      </c>
      <c r="P137" s="15">
        <f t="shared" si="8"/>
        <v>10</v>
      </c>
      <c r="Q137" s="16" t="s">
        <v>8</v>
      </c>
      <c r="R137" s="19">
        <v>4.8</v>
      </c>
      <c r="S137" s="16" t="s">
        <v>9</v>
      </c>
    </row>
    <row r="138" spans="1:19" x14ac:dyDescent="0.3">
      <c r="A138" s="11">
        <v>137</v>
      </c>
      <c r="B138" s="11" t="s">
        <v>341</v>
      </c>
      <c r="C138" s="11" t="s">
        <v>342</v>
      </c>
      <c r="D138" s="11" t="s">
        <v>12</v>
      </c>
      <c r="E138" s="11" t="s">
        <v>223</v>
      </c>
      <c r="F138" s="12">
        <v>46187</v>
      </c>
      <c r="G138" s="11" t="s">
        <v>54</v>
      </c>
      <c r="H138" s="11" t="s">
        <v>196</v>
      </c>
      <c r="I138" s="11" t="s">
        <v>198</v>
      </c>
      <c r="J138" s="11" t="s">
        <v>181</v>
      </c>
      <c r="K138" s="13">
        <v>2999</v>
      </c>
      <c r="L138" s="11">
        <v>20</v>
      </c>
      <c r="M138" s="11" t="str">
        <f t="shared" si="6"/>
        <v>June</v>
      </c>
      <c r="N138" s="14">
        <v>12</v>
      </c>
      <c r="O138" s="14">
        <f t="shared" si="7"/>
        <v>35988</v>
      </c>
      <c r="P138" s="15">
        <f t="shared" si="8"/>
        <v>60</v>
      </c>
      <c r="Q138" s="11" t="s">
        <v>8</v>
      </c>
      <c r="R138" s="14">
        <v>4.9000000000000004</v>
      </c>
      <c r="S138" s="11" t="s">
        <v>9</v>
      </c>
    </row>
    <row r="139" spans="1:19" x14ac:dyDescent="0.3">
      <c r="A139" s="16">
        <v>138</v>
      </c>
      <c r="B139" s="16" t="s">
        <v>343</v>
      </c>
      <c r="C139" s="16" t="s">
        <v>344</v>
      </c>
      <c r="D139" s="16" t="s">
        <v>7</v>
      </c>
      <c r="E139" s="16" t="s">
        <v>92</v>
      </c>
      <c r="F139" s="17">
        <v>46187</v>
      </c>
      <c r="G139" s="16" t="s">
        <v>357</v>
      </c>
      <c r="H139" s="16" t="s">
        <v>185</v>
      </c>
      <c r="I139" s="16" t="s">
        <v>180</v>
      </c>
      <c r="J139" s="16" t="s">
        <v>187</v>
      </c>
      <c r="K139" s="18">
        <v>800</v>
      </c>
      <c r="L139" s="16">
        <v>30</v>
      </c>
      <c r="M139" s="11" t="str">
        <f t="shared" si="6"/>
        <v>June</v>
      </c>
      <c r="N139" s="19">
        <v>10</v>
      </c>
      <c r="O139" s="14">
        <f t="shared" si="7"/>
        <v>8000</v>
      </c>
      <c r="P139" s="15">
        <f t="shared" si="8"/>
        <v>33.333333333333329</v>
      </c>
      <c r="Q139" s="16" t="s">
        <v>188</v>
      </c>
      <c r="R139" s="19">
        <v>4.2</v>
      </c>
      <c r="S139" s="16" t="s">
        <v>9</v>
      </c>
    </row>
    <row r="140" spans="1:19" x14ac:dyDescent="0.3">
      <c r="A140" s="11">
        <v>139</v>
      </c>
      <c r="B140" s="11" t="s">
        <v>345</v>
      </c>
      <c r="C140" s="11" t="s">
        <v>346</v>
      </c>
      <c r="D140" s="11" t="s">
        <v>12</v>
      </c>
      <c r="E140" s="11" t="s">
        <v>347</v>
      </c>
      <c r="F140" s="12">
        <v>46188</v>
      </c>
      <c r="G140" s="11" t="s">
        <v>355</v>
      </c>
      <c r="H140" s="11" t="s">
        <v>185</v>
      </c>
      <c r="I140" s="11" t="s">
        <v>194</v>
      </c>
      <c r="J140" s="11" t="s">
        <v>181</v>
      </c>
      <c r="K140" s="13">
        <v>1500</v>
      </c>
      <c r="L140" s="11">
        <v>20</v>
      </c>
      <c r="M140" s="11" t="str">
        <f t="shared" si="6"/>
        <v>June</v>
      </c>
      <c r="N140" s="14">
        <v>12</v>
      </c>
      <c r="O140" s="14">
        <f t="shared" si="7"/>
        <v>18000</v>
      </c>
      <c r="P140" s="15">
        <f t="shared" si="8"/>
        <v>60</v>
      </c>
      <c r="Q140" s="11" t="s">
        <v>8</v>
      </c>
      <c r="R140" s="14">
        <v>4.8</v>
      </c>
      <c r="S140" s="11" t="s">
        <v>9</v>
      </c>
    </row>
    <row r="141" spans="1:19" x14ac:dyDescent="0.3">
      <c r="A141" s="16">
        <v>140</v>
      </c>
      <c r="B141" s="16" t="s">
        <v>348</v>
      </c>
      <c r="C141" s="16" t="s">
        <v>349</v>
      </c>
      <c r="D141" s="16" t="s">
        <v>7</v>
      </c>
      <c r="E141" s="16" t="s">
        <v>350</v>
      </c>
      <c r="F141" s="17">
        <v>46188</v>
      </c>
      <c r="G141" s="16" t="s">
        <v>353</v>
      </c>
      <c r="H141" s="16" t="s">
        <v>179</v>
      </c>
      <c r="I141" s="16" t="s">
        <v>186</v>
      </c>
      <c r="J141" s="16" t="s">
        <v>181</v>
      </c>
      <c r="K141" s="18">
        <v>800</v>
      </c>
      <c r="L141" s="16">
        <v>18</v>
      </c>
      <c r="M141" s="11" t="str">
        <f t="shared" si="6"/>
        <v>June</v>
      </c>
      <c r="N141" s="19">
        <v>11</v>
      </c>
      <c r="O141" s="14">
        <f t="shared" si="7"/>
        <v>8800</v>
      </c>
      <c r="P141" s="15">
        <f t="shared" si="8"/>
        <v>61.111111111111114</v>
      </c>
      <c r="Q141" s="16" t="s">
        <v>8</v>
      </c>
      <c r="R141" s="19">
        <v>4.5999999999999996</v>
      </c>
      <c r="S141" s="16" t="s">
        <v>9</v>
      </c>
    </row>
    <row r="142" spans="1:19" x14ac:dyDescent="0.3">
      <c r="L142" s="1"/>
      <c r="M142" s="1"/>
    </row>
    <row r="143" spans="1:19" x14ac:dyDescent="0.3">
      <c r="L143" s="1"/>
      <c r="M143" s="1"/>
    </row>
  </sheetData>
  <autoFilter ref="A1:S141" xr:uid="{B2CBCF90-8F23-4B7C-8074-53D4AFD07F5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51FB6-6650-4F87-B413-2F3020C7A695}">
  <sheetPr>
    <tabColor theme="4" tint="-0.249977111117893"/>
  </sheetPr>
  <dimension ref="A1:T20"/>
  <sheetViews>
    <sheetView showGridLines="0" workbookViewId="0">
      <selection activeCell="U37" sqref="U37"/>
    </sheetView>
  </sheetViews>
  <sheetFormatPr defaultRowHeight="14.4" x14ac:dyDescent="0.3"/>
  <cols>
    <col min="1" max="1" width="10.21875" style="59" bestFit="1" customWidth="1"/>
    <col min="2" max="2" width="9.21875" style="59" bestFit="1" customWidth="1"/>
    <col min="3" max="3" width="11.109375" style="59" bestFit="1" customWidth="1"/>
    <col min="4" max="5" width="8.88671875" style="59" customWidth="1"/>
    <col min="6" max="10" width="8.88671875" style="59"/>
    <col min="11" max="11" width="8.6640625" style="59" customWidth="1"/>
    <col min="12" max="16" width="8.88671875" style="59"/>
    <col min="17" max="17" width="7.44140625" style="59" customWidth="1"/>
    <col min="18" max="19" width="8.88671875" style="59"/>
    <col min="20" max="20" width="29.21875" style="59" customWidth="1"/>
    <col min="21" max="16384" width="8.88671875" style="59"/>
  </cols>
  <sheetData>
    <row r="1" spans="1:20" s="27" customFormat="1" ht="58.8" customHeight="1" x14ac:dyDescent="0.75">
      <c r="A1" s="119" t="s">
        <v>588</v>
      </c>
      <c r="B1" s="120"/>
      <c r="C1" s="120"/>
      <c r="D1" s="120"/>
      <c r="E1" s="120"/>
      <c r="F1" s="120"/>
      <c r="G1" s="120"/>
      <c r="H1" s="120"/>
      <c r="I1" s="120"/>
      <c r="J1" s="120"/>
      <c r="K1" s="120"/>
      <c r="L1" s="120"/>
      <c r="M1" s="120"/>
      <c r="N1" s="120"/>
      <c r="O1" s="120"/>
      <c r="P1" s="120"/>
      <c r="Q1" s="120"/>
      <c r="R1" s="120"/>
      <c r="S1" s="120"/>
      <c r="T1" s="121"/>
    </row>
    <row r="2" spans="1:20" ht="15" x14ac:dyDescent="0.35">
      <c r="A2" s="106" t="s">
        <v>549</v>
      </c>
      <c r="B2" s="111" t="s">
        <v>550</v>
      </c>
      <c r="C2" s="106" t="s">
        <v>547</v>
      </c>
    </row>
    <row r="3" spans="1:20" x14ac:dyDescent="0.3">
      <c r="A3" s="99" t="s">
        <v>600</v>
      </c>
      <c r="B3" s="109">
        <v>62</v>
      </c>
      <c r="C3" s="108">
        <v>212768</v>
      </c>
    </row>
    <row r="4" spans="1:20" x14ac:dyDescent="0.3">
      <c r="A4" s="98" t="s">
        <v>601</v>
      </c>
      <c r="B4" s="109">
        <v>48</v>
      </c>
      <c r="C4" s="110">
        <v>206357</v>
      </c>
    </row>
    <row r="5" spans="1:20" x14ac:dyDescent="0.3">
      <c r="A5" s="63" t="s">
        <v>563</v>
      </c>
      <c r="B5" s="109">
        <v>30</v>
      </c>
      <c r="C5" s="137">
        <v>242347</v>
      </c>
    </row>
    <row r="6" spans="1:20" x14ac:dyDescent="0.3">
      <c r="A6" s="64" t="s">
        <v>548</v>
      </c>
      <c r="B6" s="112">
        <v>140</v>
      </c>
      <c r="C6" s="112">
        <v>661472</v>
      </c>
    </row>
    <row r="7" spans="1:20" x14ac:dyDescent="0.3">
      <c r="B7" s="60"/>
      <c r="C7" s="60"/>
      <c r="L7" s="66"/>
      <c r="M7" s="67"/>
      <c r="N7" s="67"/>
      <c r="O7" s="67"/>
      <c r="P7" s="67"/>
      <c r="Q7" s="68"/>
    </row>
    <row r="8" spans="1:20" x14ac:dyDescent="0.3">
      <c r="L8" s="62"/>
      <c r="Q8" s="60"/>
    </row>
    <row r="9" spans="1:20" x14ac:dyDescent="0.3">
      <c r="L9" s="62"/>
      <c r="Q9" s="60"/>
    </row>
    <row r="10" spans="1:20" x14ac:dyDescent="0.3">
      <c r="L10" s="62"/>
      <c r="Q10" s="60"/>
    </row>
    <row r="11" spans="1:20" x14ac:dyDescent="0.3">
      <c r="L11" s="62"/>
      <c r="Q11" s="60"/>
    </row>
    <row r="12" spans="1:20" x14ac:dyDescent="0.3">
      <c r="L12" s="62"/>
      <c r="Q12" s="60"/>
    </row>
    <row r="13" spans="1:20" x14ac:dyDescent="0.3">
      <c r="L13" s="62"/>
      <c r="Q13" s="60"/>
    </row>
    <row r="14" spans="1:20" x14ac:dyDescent="0.3">
      <c r="L14" s="62"/>
      <c r="Q14" s="60"/>
    </row>
    <row r="15" spans="1:20" x14ac:dyDescent="0.3">
      <c r="L15" s="62"/>
      <c r="Q15" s="60"/>
    </row>
    <row r="16" spans="1:20" x14ac:dyDescent="0.3">
      <c r="L16" s="62"/>
      <c r="Q16" s="60"/>
    </row>
    <row r="17" spans="12:17" x14ac:dyDescent="0.3">
      <c r="L17" s="62"/>
      <c r="Q17" s="60"/>
    </row>
    <row r="18" spans="12:17" x14ac:dyDescent="0.3">
      <c r="L18" s="62"/>
      <c r="Q18" s="60"/>
    </row>
    <row r="19" spans="12:17" x14ac:dyDescent="0.3">
      <c r="L19" s="62"/>
      <c r="Q19" s="60"/>
    </row>
    <row r="20" spans="12:17" x14ac:dyDescent="0.3">
      <c r="L20" s="65"/>
      <c r="M20" s="65"/>
      <c r="N20" s="65"/>
      <c r="O20" s="65"/>
      <c r="P20" s="65"/>
      <c r="Q20" s="65"/>
    </row>
  </sheetData>
  <mergeCells count="1">
    <mergeCell ref="A1:T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6613-F1C7-4AE4-9284-641BF3F14F58}">
  <sheetPr>
    <tabColor theme="5"/>
  </sheetPr>
  <dimension ref="A1:AN14"/>
  <sheetViews>
    <sheetView showGridLines="0" workbookViewId="0">
      <selection activeCell="T36" sqref="T36"/>
    </sheetView>
  </sheetViews>
  <sheetFormatPr defaultRowHeight="14.4" x14ac:dyDescent="0.3"/>
  <cols>
    <col min="1" max="1" width="12.21875" style="74" bestFit="1" customWidth="1"/>
    <col min="2" max="2" width="13.77734375" style="74" bestFit="1" customWidth="1"/>
    <col min="3" max="19" width="8.88671875" style="74"/>
    <col min="20" max="20" width="29.5546875" style="74" customWidth="1"/>
    <col min="21" max="16384" width="8.88671875" style="74"/>
  </cols>
  <sheetData>
    <row r="1" spans="1:40" s="73" customFormat="1" ht="48.6" customHeight="1" thickBot="1" x14ac:dyDescent="0.55000000000000004">
      <c r="A1" s="122" t="s">
        <v>590</v>
      </c>
      <c r="B1" s="123"/>
      <c r="C1" s="123"/>
      <c r="D1" s="123"/>
      <c r="E1" s="123"/>
      <c r="F1" s="123"/>
      <c r="G1" s="123"/>
      <c r="H1" s="123"/>
      <c r="I1" s="123"/>
      <c r="J1" s="123"/>
      <c r="K1" s="123"/>
      <c r="L1" s="123"/>
      <c r="M1" s="123"/>
      <c r="N1" s="123"/>
      <c r="O1" s="123"/>
      <c r="P1" s="123"/>
      <c r="Q1" s="123"/>
      <c r="R1" s="123"/>
      <c r="S1" s="123"/>
      <c r="T1" s="124"/>
      <c r="U1" s="125" t="s">
        <v>556</v>
      </c>
      <c r="V1" s="126"/>
      <c r="W1" s="126"/>
      <c r="X1" s="126"/>
      <c r="Y1" s="126"/>
      <c r="Z1" s="126"/>
      <c r="AA1" s="126"/>
      <c r="AB1" s="126"/>
      <c r="AC1" s="126"/>
      <c r="AD1" s="126"/>
      <c r="AE1" s="126"/>
      <c r="AF1" s="126"/>
      <c r="AG1" s="126"/>
      <c r="AH1" s="126"/>
      <c r="AI1" s="126"/>
      <c r="AJ1" s="126"/>
      <c r="AK1" s="126"/>
      <c r="AL1" s="126"/>
      <c r="AM1" s="126"/>
      <c r="AN1" s="127"/>
    </row>
    <row r="3" spans="1:40" x14ac:dyDescent="0.3">
      <c r="A3" s="75" t="s">
        <v>552</v>
      </c>
      <c r="B3" s="75" t="s">
        <v>547</v>
      </c>
    </row>
    <row r="4" spans="1:40" x14ac:dyDescent="0.3">
      <c r="A4" s="76" t="s">
        <v>199</v>
      </c>
      <c r="B4" s="115">
        <v>82777</v>
      </c>
    </row>
    <row r="5" spans="1:40" x14ac:dyDescent="0.3">
      <c r="A5" s="76" t="s">
        <v>180</v>
      </c>
      <c r="B5" s="115">
        <v>85880</v>
      </c>
    </row>
    <row r="6" spans="1:40" x14ac:dyDescent="0.3">
      <c r="A6" s="76" t="s">
        <v>186</v>
      </c>
      <c r="B6" s="115">
        <v>102777</v>
      </c>
    </row>
    <row r="7" spans="1:40" x14ac:dyDescent="0.3">
      <c r="A7" s="76" t="s">
        <v>197</v>
      </c>
      <c r="B7" s="115">
        <v>53289</v>
      </c>
    </row>
    <row r="8" spans="1:40" x14ac:dyDescent="0.3">
      <c r="A8" s="76" t="s">
        <v>189</v>
      </c>
      <c r="B8" s="115">
        <v>56090</v>
      </c>
    </row>
    <row r="9" spans="1:40" x14ac:dyDescent="0.3">
      <c r="A9" s="76" t="s">
        <v>198</v>
      </c>
      <c r="B9" s="115">
        <v>92580</v>
      </c>
    </row>
    <row r="10" spans="1:40" x14ac:dyDescent="0.3">
      <c r="A10" s="76" t="s">
        <v>193</v>
      </c>
      <c r="B10" s="115">
        <v>46900</v>
      </c>
    </row>
    <row r="11" spans="1:40" x14ac:dyDescent="0.3">
      <c r="A11" s="76" t="s">
        <v>194</v>
      </c>
      <c r="B11" s="115">
        <v>76686</v>
      </c>
    </row>
    <row r="12" spans="1:40" x14ac:dyDescent="0.3">
      <c r="A12" s="76" t="s">
        <v>183</v>
      </c>
      <c r="B12" s="115">
        <v>15500</v>
      </c>
    </row>
    <row r="13" spans="1:40" x14ac:dyDescent="0.3">
      <c r="A13" s="76" t="s">
        <v>190</v>
      </c>
      <c r="B13" s="115">
        <v>48993</v>
      </c>
    </row>
    <row r="14" spans="1:40" x14ac:dyDescent="0.3">
      <c r="A14" s="116" t="s">
        <v>548</v>
      </c>
      <c r="B14" s="114">
        <v>661472</v>
      </c>
    </row>
  </sheetData>
  <mergeCells count="2">
    <mergeCell ref="A1:T1"/>
    <mergeCell ref="U1:AN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9BF07-D648-4EFD-9038-87E82D34B509}">
  <sheetPr>
    <tabColor theme="5" tint="0.39997558519241921"/>
  </sheetPr>
  <dimension ref="A1:T6"/>
  <sheetViews>
    <sheetView showGridLines="0" workbookViewId="0">
      <selection activeCell="T37" sqref="T37"/>
    </sheetView>
  </sheetViews>
  <sheetFormatPr defaultRowHeight="14.4" x14ac:dyDescent="0.3"/>
  <cols>
    <col min="1" max="1" width="18.21875" style="59" bestFit="1" customWidth="1"/>
    <col min="2" max="2" width="10.21875" style="59" bestFit="1" customWidth="1"/>
    <col min="3" max="8" width="8.88671875" style="59"/>
    <col min="9" max="9" width="14.109375" style="59" customWidth="1"/>
    <col min="10" max="19" width="8.88671875" style="59"/>
    <col min="20" max="20" width="29" style="59" customWidth="1"/>
    <col min="21" max="16384" width="8.88671875" style="59"/>
  </cols>
  <sheetData>
    <row r="1" spans="1:20" ht="53.4" customHeight="1" x14ac:dyDescent="0.5">
      <c r="A1" s="128" t="s">
        <v>589</v>
      </c>
      <c r="B1" s="129"/>
      <c r="C1" s="129"/>
      <c r="D1" s="129"/>
      <c r="E1" s="129"/>
      <c r="F1" s="129"/>
      <c r="G1" s="129"/>
      <c r="H1" s="129"/>
      <c r="I1" s="129"/>
      <c r="J1" s="129"/>
      <c r="K1" s="129"/>
      <c r="L1" s="129"/>
      <c r="M1" s="129"/>
      <c r="N1" s="129"/>
      <c r="O1" s="129"/>
      <c r="P1" s="129"/>
      <c r="Q1" s="129"/>
      <c r="R1" s="129"/>
      <c r="S1" s="129"/>
      <c r="T1" s="130"/>
    </row>
    <row r="2" spans="1:20" ht="10.8" customHeight="1" x14ac:dyDescent="0.3"/>
    <row r="3" spans="1:20" x14ac:dyDescent="0.3">
      <c r="A3" s="72" t="s">
        <v>559</v>
      </c>
      <c r="B3" s="72" t="s">
        <v>671</v>
      </c>
    </row>
    <row r="4" spans="1:20" x14ac:dyDescent="0.3">
      <c r="A4" s="101" t="s">
        <v>12</v>
      </c>
      <c r="B4" s="97">
        <v>0.6305603260606647</v>
      </c>
      <c r="C4" s="69"/>
    </row>
    <row r="5" spans="1:20" x14ac:dyDescent="0.3">
      <c r="A5" s="102" t="s">
        <v>7</v>
      </c>
      <c r="B5" s="100">
        <v>0.3694396739393353</v>
      </c>
    </row>
    <row r="6" spans="1:20" x14ac:dyDescent="0.3">
      <c r="A6" s="72" t="s">
        <v>548</v>
      </c>
      <c r="B6" s="104">
        <v>1</v>
      </c>
      <c r="C6" s="71"/>
      <c r="D6" s="70"/>
      <c r="E6" s="70"/>
      <c r="F6" s="70"/>
      <c r="G6" s="70"/>
      <c r="H6" s="70"/>
      <c r="I6" s="70"/>
    </row>
  </sheetData>
  <mergeCells count="1">
    <mergeCell ref="A1:T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C0AF1-B215-42FF-881B-426E2F69D713}">
  <sheetPr>
    <tabColor theme="3" tint="0.249977111117893"/>
  </sheetPr>
  <dimension ref="A1:T27"/>
  <sheetViews>
    <sheetView showGridLines="0" workbookViewId="0">
      <selection activeCell="T37" sqref="T37"/>
    </sheetView>
  </sheetViews>
  <sheetFormatPr defaultRowHeight="14.4" x14ac:dyDescent="0.3"/>
  <cols>
    <col min="1" max="1" width="14.21875" style="59" bestFit="1" customWidth="1"/>
    <col min="2" max="2" width="13.77734375" style="79" bestFit="1" customWidth="1"/>
    <col min="3" max="19" width="8.88671875" style="59"/>
    <col min="20" max="20" width="35.109375" style="59" customWidth="1"/>
    <col min="21" max="16384" width="8.88671875" style="59"/>
  </cols>
  <sheetData>
    <row r="1" spans="1:20" ht="46.8" customHeight="1" thickBot="1" x14ac:dyDescent="0.55000000000000004">
      <c r="A1" s="131" t="s">
        <v>591</v>
      </c>
      <c r="B1" s="132"/>
      <c r="C1" s="132"/>
      <c r="D1" s="132"/>
      <c r="E1" s="132"/>
      <c r="F1" s="132"/>
      <c r="G1" s="132"/>
      <c r="H1" s="132"/>
      <c r="I1" s="132"/>
      <c r="J1" s="132"/>
      <c r="K1" s="132"/>
      <c r="L1" s="132"/>
      <c r="M1" s="132"/>
      <c r="N1" s="132"/>
      <c r="O1" s="132"/>
      <c r="P1" s="132"/>
      <c r="Q1" s="132"/>
      <c r="R1" s="132"/>
      <c r="S1" s="132"/>
      <c r="T1" s="133"/>
    </row>
    <row r="3" spans="1:20" x14ac:dyDescent="0.3">
      <c r="A3" s="77" t="s">
        <v>552</v>
      </c>
      <c r="B3" s="77" t="s">
        <v>547</v>
      </c>
    </row>
    <row r="4" spans="1:20" x14ac:dyDescent="0.3">
      <c r="A4" s="78" t="s">
        <v>54</v>
      </c>
      <c r="B4" s="117">
        <v>179940</v>
      </c>
    </row>
    <row r="5" spans="1:20" x14ac:dyDescent="0.3">
      <c r="A5" s="78" t="s">
        <v>355</v>
      </c>
      <c r="B5" s="118">
        <v>58500</v>
      </c>
    </row>
    <row r="6" spans="1:20" x14ac:dyDescent="0.3">
      <c r="A6" s="78" t="s">
        <v>69</v>
      </c>
      <c r="B6" s="117">
        <v>37758</v>
      </c>
    </row>
    <row r="7" spans="1:20" x14ac:dyDescent="0.3">
      <c r="A7" s="78" t="s">
        <v>51</v>
      </c>
      <c r="B7" s="117">
        <v>33300</v>
      </c>
    </row>
    <row r="8" spans="1:20" x14ac:dyDescent="0.3">
      <c r="A8" s="78" t="s">
        <v>61</v>
      </c>
      <c r="B8" s="117">
        <v>32400</v>
      </c>
    </row>
    <row r="9" spans="1:20" x14ac:dyDescent="0.3">
      <c r="A9" s="78" t="s">
        <v>359</v>
      </c>
      <c r="B9" s="117">
        <v>30400</v>
      </c>
    </row>
    <row r="10" spans="1:20" x14ac:dyDescent="0.3">
      <c r="A10" s="78" t="s">
        <v>28</v>
      </c>
      <c r="B10" s="117">
        <v>28000</v>
      </c>
    </row>
    <row r="11" spans="1:20" x14ac:dyDescent="0.3">
      <c r="A11" s="78" t="s">
        <v>353</v>
      </c>
      <c r="B11" s="117">
        <v>26400</v>
      </c>
    </row>
    <row r="12" spans="1:20" x14ac:dyDescent="0.3">
      <c r="A12" s="96" t="s">
        <v>358</v>
      </c>
      <c r="B12" s="118">
        <v>26100</v>
      </c>
    </row>
    <row r="13" spans="1:20" x14ac:dyDescent="0.3">
      <c r="A13" s="96" t="s">
        <v>35</v>
      </c>
      <c r="B13" s="117">
        <v>25674</v>
      </c>
    </row>
    <row r="14" spans="1:20" x14ac:dyDescent="0.3">
      <c r="A14" s="78" t="s">
        <v>357</v>
      </c>
      <c r="B14" s="117">
        <v>25600</v>
      </c>
    </row>
    <row r="15" spans="1:20" x14ac:dyDescent="0.3">
      <c r="A15" s="78" t="s">
        <v>43</v>
      </c>
      <c r="B15" s="117">
        <v>25200</v>
      </c>
    </row>
    <row r="16" spans="1:20" x14ac:dyDescent="0.3">
      <c r="A16" s="96" t="s">
        <v>48</v>
      </c>
      <c r="B16" s="118">
        <v>20800</v>
      </c>
    </row>
    <row r="17" spans="1:2" x14ac:dyDescent="0.3">
      <c r="A17" s="78" t="s">
        <v>356</v>
      </c>
      <c r="B17" s="117">
        <v>18600</v>
      </c>
    </row>
    <row r="18" spans="1:2" x14ac:dyDescent="0.3">
      <c r="A18" s="96" t="s">
        <v>354</v>
      </c>
      <c r="B18" s="118">
        <v>16800</v>
      </c>
    </row>
    <row r="19" spans="1:2" x14ac:dyDescent="0.3">
      <c r="A19" s="78" t="s">
        <v>352</v>
      </c>
      <c r="B19" s="117">
        <v>16800</v>
      </c>
    </row>
    <row r="20" spans="1:2" x14ac:dyDescent="0.3">
      <c r="A20" s="78" t="s">
        <v>551</v>
      </c>
      <c r="B20" s="117">
        <v>11700</v>
      </c>
    </row>
    <row r="21" spans="1:2" x14ac:dyDescent="0.3">
      <c r="A21" s="78" t="s">
        <v>64</v>
      </c>
      <c r="B21" s="118">
        <v>9900</v>
      </c>
    </row>
    <row r="22" spans="1:2" x14ac:dyDescent="0.3">
      <c r="A22" s="96" t="s">
        <v>14</v>
      </c>
      <c r="B22" s="118">
        <v>9600</v>
      </c>
    </row>
    <row r="23" spans="1:2" x14ac:dyDescent="0.3">
      <c r="A23" s="78" t="s">
        <v>105</v>
      </c>
      <c r="B23" s="117">
        <v>9000</v>
      </c>
    </row>
    <row r="24" spans="1:2" x14ac:dyDescent="0.3">
      <c r="A24" s="78" t="s">
        <v>40</v>
      </c>
      <c r="B24" s="117">
        <v>7600</v>
      </c>
    </row>
    <row r="25" spans="1:2" x14ac:dyDescent="0.3">
      <c r="A25" s="78" t="s">
        <v>18</v>
      </c>
      <c r="B25" s="117">
        <v>7200</v>
      </c>
    </row>
    <row r="26" spans="1:2" x14ac:dyDescent="0.3">
      <c r="A26" s="78" t="s">
        <v>22</v>
      </c>
      <c r="B26" s="117">
        <v>4200</v>
      </c>
    </row>
    <row r="27" spans="1:2" x14ac:dyDescent="0.3">
      <c r="A27" s="113" t="s">
        <v>548</v>
      </c>
      <c r="B27" s="113">
        <v>661472</v>
      </c>
    </row>
  </sheetData>
  <mergeCells count="1">
    <mergeCell ref="A1:T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42D22-F6E4-4758-97D9-87EE4E2A796B}">
  <sheetPr>
    <tabColor theme="2" tint="-0.749992370372631"/>
  </sheetPr>
  <dimension ref="A1:T34"/>
  <sheetViews>
    <sheetView showGridLines="0" workbookViewId="0">
      <selection activeCell="T33" sqref="T33"/>
    </sheetView>
  </sheetViews>
  <sheetFormatPr defaultRowHeight="14.4" x14ac:dyDescent="0.3"/>
  <cols>
    <col min="1" max="1" width="18.77734375" style="22" bestFit="1" customWidth="1"/>
    <col min="2" max="2" width="12.5546875" style="22" bestFit="1" customWidth="1"/>
    <col min="3" max="19" width="8.88671875" style="22"/>
    <col min="20" max="20" width="24.21875" style="22" customWidth="1"/>
    <col min="21" max="16384" width="8.88671875" style="22"/>
  </cols>
  <sheetData>
    <row r="1" spans="1:20" ht="37.200000000000003" customHeight="1" thickBot="1" x14ac:dyDescent="0.55000000000000004">
      <c r="A1" s="131" t="s">
        <v>592</v>
      </c>
      <c r="B1" s="132"/>
      <c r="C1" s="132"/>
      <c r="D1" s="132"/>
      <c r="E1" s="132"/>
      <c r="F1" s="132"/>
      <c r="G1" s="132"/>
      <c r="H1" s="132"/>
      <c r="I1" s="132"/>
      <c r="J1" s="132"/>
      <c r="K1" s="132"/>
      <c r="L1" s="132"/>
      <c r="M1" s="132"/>
      <c r="N1" s="132"/>
      <c r="O1" s="132"/>
      <c r="P1" s="132"/>
      <c r="Q1" s="132"/>
      <c r="R1" s="132"/>
      <c r="S1" s="132"/>
      <c r="T1" s="133"/>
    </row>
    <row r="2" spans="1:20" x14ac:dyDescent="0.3">
      <c r="A2" s="59"/>
      <c r="B2" s="59"/>
      <c r="C2" s="59"/>
      <c r="D2" s="59"/>
      <c r="E2" s="59"/>
      <c r="F2" s="59"/>
      <c r="G2" s="59"/>
      <c r="H2" s="59"/>
      <c r="I2" s="59"/>
      <c r="J2" s="59"/>
      <c r="K2" s="59"/>
      <c r="L2" s="59"/>
      <c r="M2" s="59"/>
      <c r="N2" s="59"/>
      <c r="O2" s="59"/>
      <c r="P2" s="59"/>
      <c r="Q2" s="59"/>
      <c r="R2" s="59"/>
      <c r="S2" s="59"/>
      <c r="T2" s="59"/>
    </row>
    <row r="3" spans="1:20" x14ac:dyDescent="0.3">
      <c r="A3" s="77" t="s">
        <v>555</v>
      </c>
      <c r="B3" s="77" t="s">
        <v>672</v>
      </c>
      <c r="C3" s="80"/>
      <c r="D3" s="59"/>
      <c r="E3" s="59"/>
      <c r="F3" s="59"/>
      <c r="G3" s="59"/>
      <c r="H3" s="59"/>
      <c r="I3" s="59"/>
      <c r="J3" s="59"/>
      <c r="K3" s="59"/>
      <c r="L3" s="59"/>
      <c r="M3" s="59"/>
      <c r="N3" s="59"/>
      <c r="O3" s="59"/>
      <c r="P3" s="59"/>
      <c r="Q3" s="59"/>
      <c r="R3" s="59"/>
      <c r="S3" s="59"/>
      <c r="T3" s="59"/>
    </row>
    <row r="4" spans="1:20" x14ac:dyDescent="0.3">
      <c r="A4" s="78" t="s">
        <v>192</v>
      </c>
      <c r="B4" s="103">
        <v>8.5107154951381159E-2</v>
      </c>
      <c r="C4" s="59"/>
      <c r="D4" s="59"/>
      <c r="E4" s="59"/>
      <c r="F4" s="59"/>
      <c r="G4" s="59"/>
      <c r="H4" s="59"/>
      <c r="I4" s="59"/>
      <c r="J4" s="59"/>
      <c r="K4" s="59"/>
      <c r="L4" s="59"/>
      <c r="M4" s="59"/>
      <c r="N4" s="59"/>
      <c r="O4" s="59"/>
      <c r="P4" s="59"/>
      <c r="Q4" s="59"/>
      <c r="R4" s="59"/>
      <c r="S4" s="59"/>
      <c r="T4" s="59"/>
    </row>
    <row r="5" spans="1:20" x14ac:dyDescent="0.3">
      <c r="A5" s="78" t="s">
        <v>188</v>
      </c>
      <c r="B5" s="103">
        <v>0.24502019737796912</v>
      </c>
      <c r="C5" s="59"/>
      <c r="D5" s="59"/>
      <c r="E5" s="59"/>
      <c r="F5" s="59"/>
      <c r="G5" s="59"/>
      <c r="H5" s="59"/>
      <c r="I5" s="59"/>
      <c r="J5" s="59"/>
      <c r="K5" s="59"/>
      <c r="L5" s="59"/>
      <c r="M5" s="59"/>
      <c r="N5" s="59"/>
      <c r="O5" s="59"/>
      <c r="P5" s="59"/>
      <c r="Q5" s="59"/>
      <c r="R5" s="59"/>
      <c r="S5" s="59"/>
      <c r="T5" s="59"/>
    </row>
    <row r="6" spans="1:20" x14ac:dyDescent="0.3">
      <c r="A6" s="78" t="s">
        <v>8</v>
      </c>
      <c r="B6" s="103">
        <v>0.66987264767064969</v>
      </c>
      <c r="C6" s="59"/>
      <c r="D6" s="59"/>
      <c r="E6" s="59"/>
      <c r="F6" s="59"/>
      <c r="G6" s="59"/>
      <c r="H6" s="59"/>
      <c r="I6" s="59"/>
      <c r="J6" s="59"/>
      <c r="K6" s="59"/>
      <c r="L6" s="59"/>
      <c r="M6" s="59"/>
      <c r="N6" s="59"/>
      <c r="O6" s="59"/>
      <c r="P6" s="59"/>
      <c r="Q6" s="59"/>
      <c r="R6" s="59"/>
      <c r="S6" s="59"/>
      <c r="T6" s="59"/>
    </row>
    <row r="7" spans="1:20" x14ac:dyDescent="0.3">
      <c r="A7" s="77" t="s">
        <v>548</v>
      </c>
      <c r="B7" s="105">
        <v>1</v>
      </c>
      <c r="C7" s="80"/>
      <c r="D7" s="59"/>
      <c r="E7" s="59"/>
      <c r="F7" s="59"/>
      <c r="G7" s="59"/>
      <c r="H7" s="59"/>
      <c r="I7" s="59"/>
      <c r="J7" s="59"/>
      <c r="K7" s="59"/>
      <c r="L7" s="59"/>
      <c r="M7" s="59"/>
      <c r="N7" s="59"/>
      <c r="O7" s="59"/>
      <c r="P7" s="59"/>
      <c r="Q7" s="59"/>
      <c r="R7" s="59"/>
      <c r="S7" s="59"/>
      <c r="T7" s="59"/>
    </row>
    <row r="8" spans="1:20" x14ac:dyDescent="0.3">
      <c r="A8" s="59"/>
      <c r="B8" s="59"/>
      <c r="C8" s="59"/>
      <c r="D8" s="59"/>
      <c r="E8" s="59"/>
      <c r="F8" s="59"/>
      <c r="G8" s="59"/>
      <c r="H8" s="59"/>
      <c r="I8" s="59"/>
      <c r="J8" s="59"/>
      <c r="K8" s="59"/>
      <c r="L8" s="59"/>
      <c r="M8" s="59"/>
      <c r="N8" s="59"/>
      <c r="O8" s="59"/>
      <c r="P8" s="59"/>
      <c r="Q8" s="59"/>
      <c r="R8" s="59"/>
      <c r="S8" s="59"/>
      <c r="T8" s="59"/>
    </row>
    <row r="9" spans="1:20" x14ac:dyDescent="0.3">
      <c r="A9" s="59"/>
      <c r="B9" s="59"/>
      <c r="C9" s="59"/>
      <c r="D9" s="59"/>
      <c r="E9" s="59"/>
      <c r="F9" s="59"/>
      <c r="G9" s="59"/>
      <c r="H9" s="59"/>
      <c r="I9" s="59"/>
      <c r="J9" s="59"/>
      <c r="K9" s="59"/>
      <c r="L9" s="59"/>
      <c r="M9" s="59"/>
      <c r="N9" s="59"/>
      <c r="O9" s="59"/>
      <c r="P9" s="59"/>
      <c r="Q9" s="59"/>
      <c r="R9" s="59"/>
      <c r="S9" s="59"/>
      <c r="T9" s="59"/>
    </row>
    <row r="10" spans="1:20" x14ac:dyDescent="0.3">
      <c r="A10" s="59"/>
      <c r="B10" s="59"/>
      <c r="C10" s="59"/>
      <c r="D10" s="59"/>
      <c r="E10" s="59"/>
      <c r="F10" s="59"/>
      <c r="G10" s="59"/>
      <c r="H10" s="59"/>
      <c r="I10" s="59"/>
      <c r="J10" s="59"/>
      <c r="K10" s="59"/>
      <c r="L10" s="59"/>
      <c r="M10" s="59"/>
      <c r="N10" s="59"/>
      <c r="O10" s="59"/>
      <c r="P10" s="59"/>
      <c r="Q10" s="59"/>
      <c r="R10" s="59"/>
      <c r="S10" s="59"/>
      <c r="T10" s="59"/>
    </row>
    <row r="11" spans="1:20" x14ac:dyDescent="0.3">
      <c r="A11" s="59"/>
      <c r="B11" s="59"/>
      <c r="C11" s="59"/>
      <c r="D11" s="59"/>
      <c r="E11" s="59"/>
      <c r="F11" s="59"/>
      <c r="G11" s="59"/>
      <c r="H11" s="59"/>
      <c r="I11" s="59"/>
      <c r="J11" s="59"/>
      <c r="K11" s="59"/>
      <c r="L11" s="59"/>
      <c r="M11" s="59"/>
      <c r="N11" s="59"/>
      <c r="O11" s="59"/>
      <c r="P11" s="59"/>
      <c r="Q11" s="59"/>
      <c r="R11" s="59"/>
      <c r="S11" s="59"/>
      <c r="T11" s="59"/>
    </row>
    <row r="12" spans="1:20" x14ac:dyDescent="0.3">
      <c r="A12" s="59"/>
      <c r="B12" s="59"/>
      <c r="C12" s="59"/>
      <c r="D12" s="59"/>
      <c r="E12" s="59"/>
      <c r="F12" s="59"/>
      <c r="G12" s="59"/>
      <c r="H12" s="59"/>
      <c r="I12" s="59"/>
      <c r="J12" s="59"/>
      <c r="K12" s="59"/>
      <c r="L12" s="59"/>
      <c r="M12" s="59"/>
      <c r="N12" s="59"/>
      <c r="O12" s="59"/>
      <c r="P12" s="59"/>
      <c r="Q12" s="59"/>
      <c r="R12" s="59"/>
      <c r="S12" s="59"/>
      <c r="T12" s="59"/>
    </row>
    <row r="13" spans="1:20" x14ac:dyDescent="0.3">
      <c r="A13" s="59"/>
      <c r="B13" s="59"/>
      <c r="C13" s="59"/>
      <c r="D13" s="59"/>
      <c r="E13" s="59"/>
      <c r="F13" s="59"/>
      <c r="G13" s="59"/>
      <c r="H13" s="59"/>
      <c r="I13" s="59"/>
      <c r="J13" s="59"/>
      <c r="K13" s="59"/>
      <c r="L13" s="59"/>
      <c r="M13" s="59"/>
      <c r="N13" s="59"/>
      <c r="O13" s="59"/>
      <c r="P13" s="59"/>
      <c r="Q13" s="59"/>
      <c r="R13" s="59"/>
      <c r="S13" s="59"/>
      <c r="T13" s="59"/>
    </row>
    <row r="14" spans="1:20" x14ac:dyDescent="0.3">
      <c r="A14" s="59"/>
      <c r="B14" s="59"/>
      <c r="C14" s="59"/>
      <c r="D14" s="59"/>
      <c r="E14" s="59"/>
      <c r="F14" s="59"/>
      <c r="G14" s="59"/>
      <c r="H14" s="59"/>
      <c r="I14" s="59"/>
      <c r="J14" s="59"/>
      <c r="K14" s="59"/>
      <c r="L14" s="59"/>
      <c r="M14" s="59"/>
      <c r="N14" s="59"/>
      <c r="O14" s="59"/>
      <c r="P14" s="59"/>
      <c r="Q14" s="59"/>
      <c r="R14" s="59"/>
      <c r="S14" s="59"/>
      <c r="T14" s="59"/>
    </row>
    <row r="15" spans="1:20" x14ac:dyDescent="0.3">
      <c r="A15" s="59"/>
      <c r="B15" s="59"/>
      <c r="C15" s="59"/>
      <c r="D15" s="59"/>
      <c r="E15" s="59"/>
      <c r="F15" s="59"/>
      <c r="G15" s="59"/>
      <c r="H15" s="59"/>
      <c r="I15" s="59"/>
      <c r="J15" s="59"/>
      <c r="K15" s="59"/>
      <c r="L15" s="59"/>
      <c r="M15" s="59"/>
      <c r="N15" s="59"/>
      <c r="O15" s="59"/>
      <c r="P15" s="59"/>
      <c r="Q15" s="59"/>
      <c r="R15" s="59"/>
      <c r="S15" s="59"/>
      <c r="T15" s="59"/>
    </row>
    <row r="16" spans="1:20" x14ac:dyDescent="0.3">
      <c r="A16" s="59"/>
      <c r="B16" s="59"/>
      <c r="C16" s="59"/>
      <c r="D16" s="59"/>
      <c r="E16" s="59"/>
      <c r="F16" s="59"/>
      <c r="G16" s="59"/>
      <c r="H16" s="59"/>
      <c r="I16" s="59"/>
      <c r="J16" s="59"/>
      <c r="K16" s="59"/>
      <c r="L16" s="59"/>
      <c r="M16" s="59"/>
      <c r="N16" s="59"/>
      <c r="O16" s="59"/>
      <c r="P16" s="59"/>
      <c r="Q16" s="59"/>
      <c r="R16" s="59"/>
      <c r="S16" s="59"/>
      <c r="T16" s="59"/>
    </row>
    <row r="17" spans="1:20" x14ac:dyDescent="0.3">
      <c r="A17" s="59"/>
      <c r="B17" s="59"/>
      <c r="C17" s="59"/>
      <c r="D17" s="59"/>
      <c r="E17" s="59"/>
      <c r="F17" s="59"/>
      <c r="G17" s="59"/>
      <c r="H17" s="59"/>
      <c r="I17" s="59"/>
      <c r="J17" s="59"/>
      <c r="K17" s="59"/>
      <c r="L17" s="59"/>
      <c r="M17" s="59"/>
      <c r="N17" s="59"/>
      <c r="O17" s="59"/>
      <c r="P17" s="59"/>
      <c r="Q17" s="59"/>
      <c r="R17" s="59"/>
      <c r="S17" s="59"/>
      <c r="T17" s="59"/>
    </row>
    <row r="18" spans="1:20" x14ac:dyDescent="0.3">
      <c r="A18" s="59"/>
      <c r="B18" s="59"/>
      <c r="C18" s="59"/>
      <c r="D18" s="59"/>
      <c r="E18" s="59"/>
      <c r="F18" s="59"/>
      <c r="G18" s="59"/>
      <c r="H18" s="59"/>
      <c r="I18" s="59"/>
      <c r="J18" s="59"/>
      <c r="K18" s="59"/>
      <c r="L18" s="59"/>
      <c r="M18" s="59"/>
      <c r="N18" s="59"/>
      <c r="O18" s="59"/>
      <c r="P18" s="59"/>
      <c r="Q18" s="59"/>
      <c r="R18" s="59"/>
      <c r="S18" s="59"/>
      <c r="T18" s="59"/>
    </row>
    <row r="19" spans="1:20" x14ac:dyDescent="0.3">
      <c r="A19" s="59"/>
      <c r="B19" s="59"/>
      <c r="C19" s="59"/>
      <c r="D19" s="59"/>
      <c r="E19" s="59"/>
      <c r="F19" s="59"/>
      <c r="G19" s="59"/>
      <c r="H19" s="59"/>
      <c r="I19" s="59"/>
      <c r="J19" s="59"/>
      <c r="K19" s="59"/>
      <c r="L19" s="59"/>
      <c r="M19" s="59"/>
      <c r="N19" s="59"/>
      <c r="O19" s="59"/>
      <c r="P19" s="59"/>
      <c r="Q19" s="59"/>
      <c r="R19" s="59"/>
      <c r="S19" s="59"/>
      <c r="T19" s="59"/>
    </row>
    <row r="20" spans="1:20" x14ac:dyDescent="0.3">
      <c r="A20" s="59"/>
      <c r="B20" s="59"/>
      <c r="C20" s="59"/>
      <c r="D20" s="59"/>
      <c r="E20" s="59"/>
      <c r="F20" s="59"/>
      <c r="G20" s="59"/>
      <c r="H20" s="59"/>
      <c r="I20" s="59"/>
      <c r="J20" s="59"/>
      <c r="K20" s="59"/>
      <c r="L20" s="59"/>
      <c r="M20" s="59"/>
      <c r="N20" s="59"/>
      <c r="O20" s="59"/>
      <c r="P20" s="59"/>
      <c r="Q20" s="59"/>
      <c r="R20" s="59"/>
      <c r="S20" s="59"/>
      <c r="T20" s="59"/>
    </row>
    <row r="21" spans="1:20" x14ac:dyDescent="0.3">
      <c r="A21" s="59"/>
      <c r="B21" s="59"/>
      <c r="C21" s="59"/>
      <c r="D21" s="59"/>
      <c r="E21" s="59"/>
      <c r="F21" s="59"/>
      <c r="G21" s="59"/>
      <c r="H21" s="59"/>
      <c r="I21" s="59"/>
      <c r="J21" s="59"/>
      <c r="K21" s="59"/>
      <c r="L21" s="59"/>
      <c r="M21" s="59"/>
      <c r="N21" s="59"/>
      <c r="O21" s="59"/>
      <c r="P21" s="59"/>
      <c r="Q21" s="59"/>
      <c r="R21" s="59"/>
      <c r="S21" s="59"/>
      <c r="T21" s="59"/>
    </row>
    <row r="22" spans="1:20" x14ac:dyDescent="0.3">
      <c r="A22" s="59"/>
      <c r="B22" s="59"/>
      <c r="C22" s="59"/>
      <c r="D22" s="59"/>
      <c r="E22" s="59"/>
      <c r="F22" s="59"/>
      <c r="G22" s="59"/>
      <c r="H22" s="59"/>
      <c r="I22" s="59"/>
      <c r="J22" s="59"/>
      <c r="K22" s="59"/>
      <c r="L22" s="59"/>
      <c r="M22" s="59"/>
      <c r="N22" s="59"/>
      <c r="O22" s="59"/>
      <c r="P22" s="59"/>
      <c r="Q22" s="59"/>
      <c r="R22" s="59"/>
      <c r="S22" s="59"/>
      <c r="T22" s="59"/>
    </row>
    <row r="23" spans="1:20" x14ac:dyDescent="0.3">
      <c r="A23" s="59"/>
      <c r="B23" s="59"/>
      <c r="C23" s="59"/>
      <c r="D23" s="59"/>
      <c r="E23" s="59"/>
      <c r="F23" s="59"/>
      <c r="G23" s="59"/>
      <c r="H23" s="59"/>
      <c r="I23" s="59"/>
      <c r="J23" s="59"/>
      <c r="K23" s="59"/>
      <c r="L23" s="59"/>
      <c r="M23" s="59"/>
      <c r="N23" s="59"/>
      <c r="O23" s="59"/>
      <c r="P23" s="59"/>
      <c r="Q23" s="59"/>
      <c r="R23" s="59"/>
      <c r="S23" s="59"/>
      <c r="T23" s="59"/>
    </row>
    <row r="24" spans="1:20" x14ac:dyDescent="0.3">
      <c r="A24" s="59"/>
      <c r="B24" s="59"/>
      <c r="C24" s="59"/>
      <c r="D24" s="59"/>
      <c r="E24" s="59"/>
      <c r="F24" s="59"/>
      <c r="G24" s="59"/>
      <c r="H24" s="59"/>
      <c r="I24" s="59"/>
      <c r="J24" s="59"/>
      <c r="K24" s="59"/>
      <c r="L24" s="59"/>
      <c r="M24" s="59"/>
      <c r="N24" s="59"/>
      <c r="O24" s="59"/>
      <c r="P24" s="59"/>
      <c r="Q24" s="59"/>
      <c r="R24" s="59"/>
      <c r="S24" s="59"/>
      <c r="T24" s="59"/>
    </row>
    <row r="25" spans="1:20" x14ac:dyDescent="0.3">
      <c r="A25" s="59"/>
      <c r="B25" s="59"/>
      <c r="C25" s="59"/>
      <c r="D25" s="59"/>
      <c r="E25" s="59"/>
      <c r="F25" s="59"/>
      <c r="G25" s="59"/>
      <c r="H25" s="59"/>
      <c r="I25" s="59"/>
      <c r="J25" s="59"/>
      <c r="K25" s="59"/>
      <c r="L25" s="59"/>
      <c r="M25" s="59"/>
      <c r="N25" s="59"/>
      <c r="O25" s="59"/>
      <c r="P25" s="59"/>
      <c r="Q25" s="59"/>
      <c r="R25" s="59"/>
      <c r="S25" s="59"/>
      <c r="T25" s="59"/>
    </row>
    <row r="26" spans="1:20" x14ac:dyDescent="0.3">
      <c r="A26" s="59"/>
      <c r="B26" s="59"/>
      <c r="C26" s="59"/>
      <c r="D26" s="59"/>
      <c r="E26" s="59"/>
      <c r="F26" s="59"/>
      <c r="G26" s="59"/>
      <c r="H26" s="59"/>
      <c r="I26" s="59"/>
      <c r="J26" s="59"/>
      <c r="K26" s="59"/>
      <c r="L26" s="59"/>
      <c r="M26" s="59"/>
      <c r="N26" s="59"/>
      <c r="O26" s="59"/>
      <c r="P26" s="59"/>
      <c r="Q26" s="59"/>
      <c r="R26" s="59"/>
      <c r="S26" s="59"/>
      <c r="T26" s="59"/>
    </row>
    <row r="27" spans="1:20" x14ac:dyDescent="0.3">
      <c r="A27" s="59"/>
      <c r="B27" s="59"/>
      <c r="C27" s="59"/>
      <c r="D27" s="59"/>
      <c r="E27" s="59"/>
      <c r="F27" s="59"/>
      <c r="G27" s="59"/>
      <c r="H27" s="59"/>
      <c r="I27" s="59"/>
      <c r="J27" s="59"/>
      <c r="K27" s="59"/>
      <c r="L27" s="59"/>
      <c r="M27" s="59"/>
      <c r="N27" s="59"/>
      <c r="O27" s="59"/>
      <c r="P27" s="59"/>
      <c r="Q27" s="59"/>
      <c r="R27" s="59"/>
      <c r="S27" s="59"/>
      <c r="T27" s="59"/>
    </row>
    <row r="28" spans="1:20" x14ac:dyDescent="0.3">
      <c r="A28" s="59"/>
      <c r="B28" s="59"/>
      <c r="C28" s="59"/>
      <c r="D28" s="59"/>
      <c r="E28" s="59"/>
      <c r="F28" s="59"/>
      <c r="G28" s="59"/>
      <c r="H28" s="59"/>
      <c r="I28" s="59"/>
      <c r="J28" s="59"/>
      <c r="K28" s="59"/>
      <c r="L28" s="59"/>
      <c r="M28" s="59"/>
      <c r="N28" s="59"/>
      <c r="O28" s="59"/>
      <c r="P28" s="59"/>
      <c r="Q28" s="59"/>
      <c r="R28" s="59"/>
      <c r="S28" s="59"/>
      <c r="T28" s="59"/>
    </row>
    <row r="29" spans="1:20" x14ac:dyDescent="0.3">
      <c r="A29" s="59"/>
      <c r="B29" s="59"/>
      <c r="C29" s="59"/>
      <c r="D29" s="59"/>
      <c r="E29" s="59"/>
      <c r="F29" s="59"/>
      <c r="G29" s="59"/>
      <c r="H29" s="59"/>
      <c r="I29" s="59"/>
      <c r="J29" s="59"/>
      <c r="K29" s="59"/>
      <c r="L29" s="59"/>
      <c r="M29" s="59"/>
      <c r="N29" s="59"/>
      <c r="O29" s="59"/>
      <c r="P29" s="59"/>
      <c r="Q29" s="59"/>
      <c r="R29" s="59"/>
      <c r="S29" s="59"/>
      <c r="T29" s="59"/>
    </row>
    <row r="30" spans="1:20" x14ac:dyDescent="0.3">
      <c r="A30" s="59"/>
      <c r="B30" s="59"/>
      <c r="C30" s="59"/>
      <c r="D30" s="59"/>
      <c r="E30" s="59"/>
      <c r="F30" s="59"/>
      <c r="G30" s="59"/>
      <c r="H30" s="59"/>
      <c r="I30" s="59"/>
      <c r="J30" s="59"/>
      <c r="K30" s="59"/>
      <c r="L30" s="59"/>
      <c r="M30" s="59"/>
      <c r="N30" s="59"/>
      <c r="O30" s="59"/>
      <c r="P30" s="59"/>
      <c r="Q30" s="59"/>
      <c r="R30" s="59"/>
      <c r="S30" s="59"/>
      <c r="T30" s="59"/>
    </row>
    <row r="31" spans="1:20" x14ac:dyDescent="0.3">
      <c r="A31" s="59"/>
      <c r="B31" s="59"/>
      <c r="C31" s="59"/>
      <c r="D31" s="59"/>
      <c r="E31" s="59"/>
      <c r="F31" s="59"/>
      <c r="G31" s="59"/>
      <c r="H31" s="59"/>
      <c r="I31" s="59"/>
      <c r="J31" s="59"/>
      <c r="K31" s="59"/>
      <c r="L31" s="59"/>
      <c r="M31" s="59"/>
      <c r="N31" s="59"/>
      <c r="O31" s="59"/>
      <c r="P31" s="59"/>
      <c r="Q31" s="59"/>
      <c r="R31" s="59"/>
      <c r="S31" s="59"/>
      <c r="T31" s="59"/>
    </row>
    <row r="32" spans="1:20" x14ac:dyDescent="0.3">
      <c r="A32" s="59"/>
      <c r="B32" s="59"/>
      <c r="C32" s="59"/>
      <c r="D32" s="59"/>
      <c r="E32" s="59"/>
      <c r="F32" s="59"/>
      <c r="G32" s="59"/>
      <c r="H32" s="59"/>
      <c r="I32" s="59"/>
      <c r="J32" s="59"/>
      <c r="K32" s="59"/>
      <c r="L32" s="59"/>
      <c r="M32" s="59"/>
      <c r="N32" s="59"/>
      <c r="O32" s="59"/>
      <c r="P32" s="59"/>
      <c r="Q32" s="59"/>
      <c r="R32" s="59"/>
      <c r="S32" s="59"/>
      <c r="T32" s="59"/>
    </row>
    <row r="33" spans="1:20" x14ac:dyDescent="0.3">
      <c r="A33" s="59"/>
      <c r="B33" s="59"/>
      <c r="C33" s="59"/>
      <c r="D33" s="59"/>
      <c r="E33" s="59"/>
      <c r="F33" s="59"/>
      <c r="G33" s="59"/>
      <c r="H33" s="59"/>
      <c r="I33" s="59"/>
      <c r="J33" s="59"/>
      <c r="K33" s="59"/>
      <c r="L33" s="59"/>
      <c r="M33" s="59"/>
      <c r="N33" s="59"/>
      <c r="O33" s="59"/>
      <c r="P33" s="59"/>
      <c r="Q33" s="59"/>
      <c r="R33" s="59"/>
      <c r="S33" s="59"/>
      <c r="T33" s="59"/>
    </row>
    <row r="34" spans="1:20" ht="28.8" customHeight="1" x14ac:dyDescent="0.3">
      <c r="A34" s="59"/>
      <c r="B34" s="59"/>
      <c r="C34" s="59"/>
      <c r="D34" s="59"/>
      <c r="E34" s="59"/>
      <c r="F34" s="59"/>
      <c r="G34" s="59"/>
      <c r="H34" s="59"/>
      <c r="I34" s="59"/>
      <c r="J34" s="59"/>
      <c r="K34" s="59"/>
      <c r="L34" s="59"/>
      <c r="M34" s="59"/>
      <c r="N34" s="59"/>
      <c r="O34" s="59"/>
      <c r="P34" s="59"/>
      <c r="Q34" s="59"/>
      <c r="R34" s="59"/>
      <c r="S34" s="59"/>
      <c r="T34" s="59"/>
    </row>
  </sheetData>
  <mergeCells count="1">
    <mergeCell ref="A1:T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C3A0-2BDE-4E66-BF21-1193F2F35220}">
  <sheetPr>
    <tabColor theme="5" tint="-0.249977111117893"/>
  </sheetPr>
  <dimension ref="A1:T7"/>
  <sheetViews>
    <sheetView showGridLines="0" workbookViewId="0">
      <selection activeCell="T37" sqref="T37"/>
    </sheetView>
  </sheetViews>
  <sheetFormatPr defaultRowHeight="14.4" x14ac:dyDescent="0.3"/>
  <cols>
    <col min="1" max="1" width="12.21875" style="59" bestFit="1" customWidth="1"/>
    <col min="2" max="2" width="14.44140625" style="79" bestFit="1" customWidth="1"/>
    <col min="3" max="19" width="8.88671875" style="59"/>
    <col min="20" max="20" width="26.88671875" style="59" customWidth="1"/>
    <col min="21" max="16384" width="8.88671875" style="59"/>
  </cols>
  <sheetData>
    <row r="1" spans="1:20" ht="44.4" customHeight="1" thickBot="1" x14ac:dyDescent="0.55000000000000004">
      <c r="A1" s="134" t="s">
        <v>594</v>
      </c>
      <c r="B1" s="135"/>
      <c r="C1" s="135"/>
      <c r="D1" s="135"/>
      <c r="E1" s="135"/>
      <c r="F1" s="135"/>
      <c r="G1" s="135"/>
      <c r="H1" s="135"/>
      <c r="I1" s="135"/>
      <c r="J1" s="135"/>
      <c r="K1" s="135"/>
      <c r="L1" s="135"/>
      <c r="M1" s="135"/>
      <c r="N1" s="135"/>
      <c r="O1" s="135"/>
      <c r="P1" s="135"/>
      <c r="Q1" s="135"/>
      <c r="R1" s="135"/>
      <c r="S1" s="135"/>
      <c r="T1" s="136"/>
    </row>
    <row r="3" spans="1:20" x14ac:dyDescent="0.3">
      <c r="A3" s="77" t="s">
        <v>552</v>
      </c>
      <c r="B3" s="86" t="s">
        <v>560</v>
      </c>
    </row>
    <row r="4" spans="1:20" x14ac:dyDescent="0.3">
      <c r="A4" s="78" t="s">
        <v>181</v>
      </c>
      <c r="B4" s="117">
        <v>104</v>
      </c>
    </row>
    <row r="5" spans="1:20" x14ac:dyDescent="0.3">
      <c r="A5" s="78" t="s">
        <v>191</v>
      </c>
      <c r="B5" s="117">
        <v>15</v>
      </c>
    </row>
    <row r="6" spans="1:20" x14ac:dyDescent="0.3">
      <c r="A6" s="96" t="s">
        <v>187</v>
      </c>
      <c r="B6" s="118">
        <v>21</v>
      </c>
    </row>
    <row r="7" spans="1:20" x14ac:dyDescent="0.3">
      <c r="A7" s="84" t="s">
        <v>548</v>
      </c>
      <c r="B7" s="86">
        <v>140</v>
      </c>
    </row>
  </sheetData>
  <mergeCells count="1">
    <mergeCell ref="A1:T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058A-4B6B-4C0A-BC61-CBEA4540DCBA}">
  <sheetPr>
    <tabColor rgb="FF00B0F0"/>
  </sheetPr>
  <dimension ref="A1:T28"/>
  <sheetViews>
    <sheetView showGridLines="0" workbookViewId="0">
      <selection activeCell="N29" sqref="N29"/>
    </sheetView>
  </sheetViews>
  <sheetFormatPr defaultRowHeight="14.4" x14ac:dyDescent="0.3"/>
  <cols>
    <col min="1" max="1" width="14.21875" style="59" bestFit="1" customWidth="1"/>
    <col min="2" max="2" width="24.5546875" style="59" bestFit="1" customWidth="1"/>
    <col min="3" max="4" width="14.109375" style="59" bestFit="1" customWidth="1"/>
    <col min="5" max="19" width="8.88671875" style="59"/>
    <col min="20" max="20" width="12.21875" style="59" customWidth="1"/>
    <col min="21" max="16384" width="8.88671875" style="59"/>
  </cols>
  <sheetData>
    <row r="1" spans="1:20" ht="32.4" thickBot="1" x14ac:dyDescent="0.55000000000000004">
      <c r="A1" s="134" t="s">
        <v>593</v>
      </c>
      <c r="B1" s="135"/>
      <c r="C1" s="135"/>
      <c r="D1" s="135"/>
      <c r="E1" s="135"/>
      <c r="F1" s="135"/>
      <c r="G1" s="135"/>
      <c r="H1" s="135"/>
      <c r="I1" s="135"/>
      <c r="J1" s="135"/>
      <c r="K1" s="135"/>
      <c r="L1" s="135"/>
      <c r="M1" s="135"/>
      <c r="N1" s="135"/>
      <c r="O1" s="135"/>
      <c r="P1" s="135"/>
      <c r="Q1" s="135"/>
      <c r="R1" s="135"/>
      <c r="S1" s="135"/>
      <c r="T1" s="136"/>
    </row>
    <row r="3" spans="1:20" x14ac:dyDescent="0.3">
      <c r="A3" s="77" t="s">
        <v>562</v>
      </c>
      <c r="B3" s="77" t="s">
        <v>561</v>
      </c>
      <c r="C3" s="81"/>
    </row>
    <row r="4" spans="1:20" x14ac:dyDescent="0.3">
      <c r="A4" s="82" t="s">
        <v>14</v>
      </c>
      <c r="B4" s="83">
        <v>60</v>
      </c>
    </row>
    <row r="5" spans="1:20" x14ac:dyDescent="0.3">
      <c r="A5" s="82" t="s">
        <v>18</v>
      </c>
      <c r="B5" s="83">
        <v>60</v>
      </c>
    </row>
    <row r="6" spans="1:20" x14ac:dyDescent="0.3">
      <c r="A6" s="82" t="s">
        <v>22</v>
      </c>
      <c r="B6" s="83">
        <v>60</v>
      </c>
    </row>
    <row r="7" spans="1:20" x14ac:dyDescent="0.3">
      <c r="A7" s="82" t="s">
        <v>61</v>
      </c>
      <c r="B7" s="83">
        <v>55.55555555555555</v>
      </c>
    </row>
    <row r="8" spans="1:20" x14ac:dyDescent="0.3">
      <c r="A8" s="82" t="s">
        <v>40</v>
      </c>
      <c r="B8" s="83">
        <v>52.5</v>
      </c>
    </row>
    <row r="9" spans="1:20" x14ac:dyDescent="0.3">
      <c r="A9" s="82" t="s">
        <v>359</v>
      </c>
      <c r="B9" s="83">
        <v>47.321428571428569</v>
      </c>
    </row>
    <row r="10" spans="1:20" x14ac:dyDescent="0.3">
      <c r="A10" s="82" t="s">
        <v>352</v>
      </c>
      <c r="B10" s="83">
        <v>44.833333333333329</v>
      </c>
    </row>
    <row r="11" spans="1:20" x14ac:dyDescent="0.3">
      <c r="A11" s="82" t="s">
        <v>54</v>
      </c>
      <c r="B11" s="83">
        <v>41.111111111111107</v>
      </c>
    </row>
    <row r="12" spans="1:20" x14ac:dyDescent="0.3">
      <c r="A12" s="82" t="s">
        <v>355</v>
      </c>
      <c r="B12" s="83">
        <v>39.523809523809518</v>
      </c>
    </row>
    <row r="13" spans="1:20" x14ac:dyDescent="0.3">
      <c r="A13" s="82" t="s">
        <v>356</v>
      </c>
      <c r="B13" s="83">
        <v>37.057823129251695</v>
      </c>
    </row>
    <row r="14" spans="1:20" x14ac:dyDescent="0.3">
      <c r="A14" s="82" t="s">
        <v>28</v>
      </c>
      <c r="B14" s="83">
        <v>32.156084656084651</v>
      </c>
    </row>
    <row r="15" spans="1:20" x14ac:dyDescent="0.3">
      <c r="A15" s="82" t="s">
        <v>358</v>
      </c>
      <c r="B15" s="83">
        <v>31.845238095238091</v>
      </c>
    </row>
    <row r="16" spans="1:20" x14ac:dyDescent="0.3">
      <c r="A16" s="82" t="s">
        <v>43</v>
      </c>
      <c r="B16" s="83">
        <v>31.547619047619044</v>
      </c>
    </row>
    <row r="17" spans="1:2" x14ac:dyDescent="0.3">
      <c r="A17" s="82" t="s">
        <v>51</v>
      </c>
      <c r="B17" s="83">
        <v>31.322751322751319</v>
      </c>
    </row>
    <row r="18" spans="1:2" x14ac:dyDescent="0.3">
      <c r="A18" s="82" t="s">
        <v>551</v>
      </c>
      <c r="B18" s="83">
        <v>30.158730158730155</v>
      </c>
    </row>
    <row r="19" spans="1:2" x14ac:dyDescent="0.3">
      <c r="A19" s="82" t="s">
        <v>353</v>
      </c>
      <c r="B19" s="83">
        <v>29.478458049886619</v>
      </c>
    </row>
    <row r="20" spans="1:2" x14ac:dyDescent="0.3">
      <c r="A20" s="82" t="s">
        <v>64</v>
      </c>
      <c r="B20" s="83">
        <v>26.190476190476186</v>
      </c>
    </row>
    <row r="21" spans="1:2" x14ac:dyDescent="0.3">
      <c r="A21" s="82" t="s">
        <v>69</v>
      </c>
      <c r="B21" s="83">
        <v>25.757575757575754</v>
      </c>
    </row>
    <row r="22" spans="1:2" x14ac:dyDescent="0.3">
      <c r="A22" s="82" t="s">
        <v>354</v>
      </c>
      <c r="B22" s="83">
        <v>25.396825396825392</v>
      </c>
    </row>
    <row r="23" spans="1:2" x14ac:dyDescent="0.3">
      <c r="A23" s="82" t="s">
        <v>105</v>
      </c>
      <c r="B23" s="83">
        <v>24.761904761904759</v>
      </c>
    </row>
    <row r="24" spans="1:2" x14ac:dyDescent="0.3">
      <c r="A24" s="82" t="s">
        <v>48</v>
      </c>
      <c r="B24" s="83">
        <v>24.671201814058954</v>
      </c>
    </row>
    <row r="25" spans="1:2" x14ac:dyDescent="0.3">
      <c r="A25" s="82" t="s">
        <v>35</v>
      </c>
      <c r="B25" s="83">
        <v>24.208333333333332</v>
      </c>
    </row>
    <row r="26" spans="1:2" x14ac:dyDescent="0.3">
      <c r="A26" s="82" t="s">
        <v>357</v>
      </c>
      <c r="B26" s="83">
        <v>21.726190476190467</v>
      </c>
    </row>
    <row r="27" spans="1:2" x14ac:dyDescent="0.3">
      <c r="A27" s="84" t="s">
        <v>548</v>
      </c>
      <c r="B27" s="85">
        <v>34.009183673469366</v>
      </c>
    </row>
    <row r="28" spans="1:2" x14ac:dyDescent="0.3">
      <c r="B28" s="85">
        <v>34.009183673469366</v>
      </c>
    </row>
  </sheetData>
  <mergeCells count="1">
    <mergeCell ref="A1:T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0A00-F23C-4648-8725-F03DDE168FBE}">
  <sheetPr>
    <tabColor theme="8" tint="0.59999389629810485"/>
  </sheetPr>
  <dimension ref="D9:X9"/>
  <sheetViews>
    <sheetView showGridLines="0" tabSelected="1" topLeftCell="C1" zoomScale="117" zoomScaleNormal="117" workbookViewId="0">
      <selection activeCell="P27" sqref="P27"/>
    </sheetView>
  </sheetViews>
  <sheetFormatPr defaultRowHeight="14.4" x14ac:dyDescent="0.3"/>
  <cols>
    <col min="1" max="20" width="8.88671875" style="23"/>
    <col min="21" max="21" width="8.109375" style="23" customWidth="1"/>
    <col min="22" max="22" width="1.33203125" style="23" hidden="1" customWidth="1"/>
    <col min="23" max="23" width="8" style="23" hidden="1" customWidth="1"/>
    <col min="24" max="24" width="8.88671875" style="23" hidden="1" customWidth="1"/>
    <col min="25" max="16384" width="8.88671875" style="23"/>
  </cols>
  <sheetData>
    <row r="9" spans="4:4" x14ac:dyDescent="0.3">
      <c r="D9" s="24"/>
    </row>
  </sheetData>
  <sheetProtection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TITLE</vt:lpstr>
      <vt:lpstr> CONTENTS</vt:lpstr>
      <vt:lpstr> PROJECT SUMMARY </vt:lpstr>
      <vt:lpstr> ANALYTICS FRAMEWORK</vt:lpstr>
      <vt:lpstr> RAW DATA</vt:lpstr>
      <vt:lpstr>PROCESSED_DATA</vt:lpstr>
      <vt:lpstr> MONTHLY ORDERS</vt:lpstr>
      <vt:lpstr>REVENUE BY CITY</vt:lpstr>
      <vt:lpstr> GENDER WISE SALES</vt:lpstr>
      <vt:lpstr> CATEGORY WISE REVENUE</vt:lpstr>
      <vt:lpstr>PAYMENT METHOD</vt:lpstr>
      <vt:lpstr> DELIVERY STATUS ANALYSIS</vt:lpstr>
      <vt:lpstr> SELL THROUGH RATE ANALYSIS</vt:lpstr>
      <vt:lpst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Rumana Begum</dc:creator>
  <cp:lastModifiedBy>Rumana Begum</cp:lastModifiedBy>
  <dcterms:created xsi:type="dcterms:W3CDTF">2026-05-24T09:48:59Z</dcterms:created>
  <dcterms:modified xsi:type="dcterms:W3CDTF">2026-07-30T09:45:39Z</dcterms:modified>
</cp:coreProperties>
</file>